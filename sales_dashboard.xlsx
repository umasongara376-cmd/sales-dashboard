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56f87736217be48/Documents/"/>
    </mc:Choice>
  </mc:AlternateContent>
  <xr:revisionPtr revIDLastSave="943" documentId="8_{A7620BC2-153A-4369-B10E-6967C6FEE0A8}" xr6:coauthVersionLast="47" xr6:coauthVersionMax="47" xr10:uidLastSave="{116D2066-A14B-4B43-9043-39F35507E95D}"/>
  <bookViews>
    <workbookView xWindow="-108" yWindow="-108" windowWidth="23256" windowHeight="12456" activeTab="3" xr2:uid="{744F99B0-9591-4E0C-8599-2656574C0882}"/>
  </bookViews>
  <sheets>
    <sheet name="data_1" sheetId="1" r:id="rId1"/>
    <sheet name="Sheet1" sheetId="5" r:id="rId2"/>
    <sheet name="graph" sheetId="7" r:id="rId3"/>
    <sheet name="dashboard" sheetId="10" r:id="rId4"/>
  </sheets>
  <definedNames>
    <definedName name="Slicer_Category">#N/A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5" i="5" l="1" a="1"/>
  <c r="S14" i="5"/>
  <c r="S13" i="5"/>
  <c r="S9" i="5"/>
  <c r="S11" i="5"/>
  <c r="S12" i="5"/>
  <c r="S8" i="5"/>
  <c r="S7" i="5" a="1"/>
  <c r="S6" i="5" a="1"/>
  <c r="S5" i="5" a="1"/>
  <c r="S4" i="5"/>
  <c r="S3" i="5" a="1"/>
  <c r="O29" i="5"/>
  <c r="N29" i="5"/>
  <c r="M29" i="5"/>
  <c r="L29" i="5"/>
  <c r="K29" i="5"/>
  <c r="J29" i="5"/>
  <c r="O28" i="5"/>
  <c r="N28" i="5"/>
  <c r="M28" i="5"/>
  <c r="L28" i="5"/>
  <c r="J28" i="5"/>
  <c r="K28" i="5" s="1"/>
  <c r="O27" i="5"/>
  <c r="N27" i="5"/>
  <c r="M27" i="5"/>
  <c r="L27" i="5"/>
  <c r="K27" i="5"/>
  <c r="J27" i="5"/>
  <c r="O26" i="5"/>
  <c r="N26" i="5"/>
  <c r="M26" i="5"/>
  <c r="L26" i="5"/>
  <c r="J26" i="5"/>
  <c r="K26" i="5" s="1"/>
  <c r="O25" i="5"/>
  <c r="N25" i="5"/>
  <c r="M25" i="5"/>
  <c r="L25" i="5"/>
  <c r="K25" i="5"/>
  <c r="J25" i="5"/>
  <c r="O24" i="5"/>
  <c r="N24" i="5"/>
  <c r="M24" i="5"/>
  <c r="L24" i="5"/>
  <c r="J24" i="5"/>
  <c r="K24" i="5" s="1"/>
  <c r="O23" i="5"/>
  <c r="N23" i="5"/>
  <c r="M23" i="5"/>
  <c r="L23" i="5"/>
  <c r="K23" i="5"/>
  <c r="J23" i="5"/>
  <c r="O22" i="5"/>
  <c r="N22" i="5"/>
  <c r="M22" i="5"/>
  <c r="L22" i="5"/>
  <c r="J22" i="5"/>
  <c r="K22" i="5" s="1"/>
  <c r="O21" i="5"/>
  <c r="N21" i="5"/>
  <c r="M21" i="5"/>
  <c r="L21" i="5"/>
  <c r="K21" i="5"/>
  <c r="J21" i="5"/>
  <c r="O20" i="5"/>
  <c r="N20" i="5"/>
  <c r="M20" i="5"/>
  <c r="L20" i="5"/>
  <c r="J20" i="5"/>
  <c r="K20" i="5" s="1"/>
  <c r="O19" i="5"/>
  <c r="N19" i="5"/>
  <c r="M19" i="5"/>
  <c r="L19" i="5"/>
  <c r="K19" i="5"/>
  <c r="J19" i="5"/>
  <c r="O18" i="5"/>
  <c r="N18" i="5"/>
  <c r="M18" i="5"/>
  <c r="L18" i="5"/>
  <c r="J18" i="5"/>
  <c r="K18" i="5" s="1"/>
  <c r="O17" i="5"/>
  <c r="N17" i="5"/>
  <c r="M17" i="5"/>
  <c r="L17" i="5"/>
  <c r="K17" i="5"/>
  <c r="J17" i="5"/>
  <c r="O16" i="5"/>
  <c r="N16" i="5"/>
  <c r="M16" i="5"/>
  <c r="L16" i="5"/>
  <c r="K16" i="5"/>
  <c r="J16" i="5"/>
  <c r="O15" i="5"/>
  <c r="N15" i="5"/>
  <c r="M15" i="5"/>
  <c r="L15" i="5"/>
  <c r="K15" i="5"/>
  <c r="J15" i="5"/>
  <c r="O14" i="5"/>
  <c r="N14" i="5"/>
  <c r="M14" i="5"/>
  <c r="L14" i="5"/>
  <c r="J14" i="5"/>
  <c r="K14" i="5" s="1"/>
  <c r="O13" i="5"/>
  <c r="N13" i="5"/>
  <c r="M13" i="5"/>
  <c r="L13" i="5"/>
  <c r="K13" i="5"/>
  <c r="J13" i="5"/>
  <c r="O12" i="5"/>
  <c r="N12" i="5"/>
  <c r="M12" i="5"/>
  <c r="L12" i="5"/>
  <c r="K12" i="5"/>
  <c r="J12" i="5"/>
  <c r="O11" i="5"/>
  <c r="N11" i="5"/>
  <c r="M11" i="5"/>
  <c r="L11" i="5"/>
  <c r="K11" i="5"/>
  <c r="J11" i="5"/>
  <c r="O10" i="5"/>
  <c r="N10" i="5"/>
  <c r="M10" i="5"/>
  <c r="L10" i="5"/>
  <c r="J10" i="5"/>
  <c r="K10" i="5" s="1"/>
  <c r="O9" i="5"/>
  <c r="N9" i="5"/>
  <c r="M9" i="5"/>
  <c r="L9" i="5"/>
  <c r="K9" i="5"/>
  <c r="J9" i="5"/>
  <c r="O8" i="5"/>
  <c r="N8" i="5"/>
  <c r="M8" i="5"/>
  <c r="L8" i="5"/>
  <c r="K8" i="5"/>
  <c r="J8" i="5"/>
  <c r="O7" i="5"/>
  <c r="N7" i="5"/>
  <c r="M7" i="5"/>
  <c r="L7" i="5"/>
  <c r="K7" i="5"/>
  <c r="J7" i="5"/>
  <c r="O6" i="5"/>
  <c r="N6" i="5"/>
  <c r="M6" i="5"/>
  <c r="L6" i="5"/>
  <c r="J6" i="5"/>
  <c r="K6" i="5" s="1"/>
  <c r="O5" i="5"/>
  <c r="N5" i="5"/>
  <c r="M5" i="5"/>
  <c r="L5" i="5"/>
  <c r="K5" i="5"/>
  <c r="J5" i="5"/>
  <c r="O4" i="5"/>
  <c r="N4" i="5"/>
  <c r="M4" i="5"/>
  <c r="L4" i="5"/>
  <c r="K4" i="5"/>
  <c r="J4" i="5"/>
  <c r="O3" i="5"/>
  <c r="N3" i="5"/>
  <c r="M3" i="5"/>
  <c r="L3" i="5"/>
  <c r="K3" i="5"/>
  <c r="J3" i="5"/>
  <c r="O2" i="5"/>
  <c r="N2" i="5"/>
  <c r="M2" i="5"/>
  <c r="L2" i="5"/>
  <c r="J2" i="5"/>
  <c r="K2" i="5" s="1"/>
  <c r="Q22" i="1"/>
  <c r="Q23" i="1" a="1"/>
  <c r="Q21" i="1"/>
  <c r="R17" i="1"/>
  <c r="R18" i="1"/>
  <c r="S17" i="1"/>
  <c r="T17" i="1"/>
  <c r="U17" i="1"/>
  <c r="V17" i="1"/>
  <c r="W17" i="1"/>
  <c r="X17" i="1"/>
  <c r="Y17" i="1"/>
  <c r="Z17" i="1"/>
  <c r="AA17" i="1"/>
  <c r="R15" i="1"/>
  <c r="R16" i="1" a="1"/>
  <c r="U2" i="1"/>
  <c r="S10" i="1"/>
  <c r="N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N3" i="1"/>
  <c r="N4" i="1"/>
  <c r="N5" i="1"/>
  <c r="N6" i="1"/>
  <c r="N7" i="1"/>
  <c r="N8" i="1"/>
  <c r="N9" i="1"/>
  <c r="N10" i="1"/>
  <c r="N11" i="1"/>
  <c r="N12" i="1"/>
  <c r="N13" i="1"/>
  <c r="N14" i="1"/>
  <c r="N15" i="1"/>
  <c r="N16" i="1"/>
  <c r="N17" i="1"/>
  <c r="N18" i="1"/>
  <c r="N19" i="1"/>
  <c r="N20" i="1"/>
  <c r="N21" i="1"/>
  <c r="N22" i="1"/>
  <c r="N23" i="1"/>
  <c r="N24" i="1"/>
  <c r="N25" i="1"/>
  <c r="N26" i="1"/>
  <c r="N27" i="1"/>
  <c r="N28" i="1"/>
  <c r="N29" i="1"/>
  <c r="U7" i="1"/>
  <c r="U6" i="1"/>
  <c r="U5" i="1"/>
  <c r="U4" i="1"/>
  <c r="M18" i="1"/>
  <c r="M3" i="1"/>
  <c r="M4" i="1"/>
  <c r="M5" i="1"/>
  <c r="M6" i="1"/>
  <c r="M7" i="1"/>
  <c r="M8" i="1"/>
  <c r="M9" i="1"/>
  <c r="M10" i="1"/>
  <c r="M11" i="1"/>
  <c r="M12" i="1"/>
  <c r="M13" i="1"/>
  <c r="M14" i="1"/>
  <c r="M15" i="1"/>
  <c r="M16" i="1"/>
  <c r="M17" i="1"/>
  <c r="M19" i="1"/>
  <c r="M20" i="1"/>
  <c r="M21" i="1"/>
  <c r="M22" i="1"/>
  <c r="M23" i="1"/>
  <c r="M24" i="1"/>
  <c r="M25" i="1"/>
  <c r="M26" i="1"/>
  <c r="M27" i="1"/>
  <c r="M28" i="1"/>
  <c r="M29" i="1"/>
  <c r="M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U3" i="1"/>
  <c r="U1" i="1"/>
  <c r="K29" i="1"/>
  <c r="J29" i="1"/>
  <c r="J28" i="1"/>
  <c r="K28" i="1" s="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 r="D65" i="7"/>
  <c r="D61" i="7"/>
  <c r="D57" i="7"/>
  <c r="D69"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<sst xmlns="http://schemas.openxmlformats.org/spreadsheetml/2006/main" count="394" uniqueCount="124">
  <si>
    <t>Order Date</t>
  </si>
  <si>
    <t>Year</t>
  </si>
  <si>
    <t>Cust Id</t>
  </si>
  <si>
    <t>Region</t>
  </si>
  <si>
    <t>Cust. Name</t>
  </si>
  <si>
    <t>Category</t>
  </si>
  <si>
    <t>Product</t>
  </si>
  <si>
    <t>Price</t>
  </si>
  <si>
    <t>Qty</t>
  </si>
  <si>
    <t>Amount</t>
  </si>
  <si>
    <t>Profit10%</t>
  </si>
  <si>
    <t>NN001</t>
  </si>
  <si>
    <t>East</t>
  </si>
  <si>
    <t>Name1</t>
  </si>
  <si>
    <t>Computer</t>
  </si>
  <si>
    <t>Mouse</t>
  </si>
  <si>
    <t>NN002</t>
  </si>
  <si>
    <t>West</t>
  </si>
  <si>
    <t>Name2</t>
  </si>
  <si>
    <t>Electronic</t>
  </si>
  <si>
    <t>Monitor</t>
  </si>
  <si>
    <t>NN003</t>
  </si>
  <si>
    <t xml:space="preserve">North </t>
  </si>
  <si>
    <t>Name3</t>
  </si>
  <si>
    <t>Art</t>
  </si>
  <si>
    <t>Printer</t>
  </si>
  <si>
    <t>NN004</t>
  </si>
  <si>
    <t>Name4</t>
  </si>
  <si>
    <t>Storage</t>
  </si>
  <si>
    <t>SSD256 GB</t>
  </si>
  <si>
    <t>NN005</t>
  </si>
  <si>
    <t>Name5</t>
  </si>
  <si>
    <t>Mobile</t>
  </si>
  <si>
    <t>HDD256 GB</t>
  </si>
  <si>
    <t>NN006</t>
  </si>
  <si>
    <t>South</t>
  </si>
  <si>
    <t>Name6</t>
  </si>
  <si>
    <t>NN007</t>
  </si>
  <si>
    <t>Name7</t>
  </si>
  <si>
    <t>NN008</t>
  </si>
  <si>
    <t>Name8</t>
  </si>
  <si>
    <t>Scanner</t>
  </si>
  <si>
    <t>NN009</t>
  </si>
  <si>
    <t>Name9</t>
  </si>
  <si>
    <t xml:space="preserve"> keyboard</t>
  </si>
  <si>
    <t>NN010</t>
  </si>
  <si>
    <t>Name10</t>
  </si>
  <si>
    <t>NN011</t>
  </si>
  <si>
    <t>Name11</t>
  </si>
  <si>
    <t>NN012</t>
  </si>
  <si>
    <t>Name12</t>
  </si>
  <si>
    <t>NN013</t>
  </si>
  <si>
    <t>Name13</t>
  </si>
  <si>
    <t>NN014</t>
  </si>
  <si>
    <t>Name14</t>
  </si>
  <si>
    <t>NN015</t>
  </si>
  <si>
    <t>Name15</t>
  </si>
  <si>
    <t>NN016</t>
  </si>
  <si>
    <t>Name16</t>
  </si>
  <si>
    <t>NN017</t>
  </si>
  <si>
    <t>Name17</t>
  </si>
  <si>
    <t>NN018</t>
  </si>
  <si>
    <t>Name18</t>
  </si>
  <si>
    <t>NN019</t>
  </si>
  <si>
    <t>Name19</t>
  </si>
  <si>
    <t>NN020</t>
  </si>
  <si>
    <t>Name20</t>
  </si>
  <si>
    <t>NN021</t>
  </si>
  <si>
    <t>Name21</t>
  </si>
  <si>
    <t>NN022</t>
  </si>
  <si>
    <t>Name22</t>
  </si>
  <si>
    <t>NN023</t>
  </si>
  <si>
    <t>Name23</t>
  </si>
  <si>
    <t>NN024</t>
  </si>
  <si>
    <t>Name24</t>
  </si>
  <si>
    <t>NN025</t>
  </si>
  <si>
    <t>Name25</t>
  </si>
  <si>
    <t>NN026</t>
  </si>
  <si>
    <t>Name26</t>
  </si>
  <si>
    <t>NN027</t>
  </si>
  <si>
    <t>Name27</t>
  </si>
  <si>
    <t>NN028</t>
  </si>
  <si>
    <t>Name28</t>
  </si>
  <si>
    <t>total amt</t>
  </si>
  <si>
    <t>avg.profit</t>
  </si>
  <si>
    <t>East QTY&gt;10 yes no</t>
  </si>
  <si>
    <t>south cat.(printer)OTY&gt;5,yes,no</t>
  </si>
  <si>
    <t>min price</t>
  </si>
  <si>
    <t>max Qty</t>
  </si>
  <si>
    <t>max amt.</t>
  </si>
  <si>
    <t>total pri</t>
  </si>
  <si>
    <t>min Qty</t>
  </si>
  <si>
    <t>west Qty &gt;=10,yes/no</t>
  </si>
  <si>
    <t>west/art/scanner/price&gt;2000</t>
  </si>
  <si>
    <t>east</t>
  </si>
  <si>
    <t>art</t>
  </si>
  <si>
    <t>computer</t>
  </si>
  <si>
    <t>mouse</t>
  </si>
  <si>
    <t>product</t>
  </si>
  <si>
    <t>reg,cate,Qty</t>
  </si>
  <si>
    <t>column</t>
  </si>
  <si>
    <t>category</t>
  </si>
  <si>
    <t>North</t>
  </si>
  <si>
    <t>ANS</t>
  </si>
  <si>
    <t>name10</t>
  </si>
  <si>
    <t>pr,qt,am,pro</t>
  </si>
  <si>
    <t>re,prod,qt,prof</t>
  </si>
  <si>
    <t>cusid,pro</t>
  </si>
  <si>
    <t>ALL DETAILS</t>
  </si>
  <si>
    <t>SUMOF PR,AM,PRO</t>
  </si>
  <si>
    <t>pro in east region</t>
  </si>
  <si>
    <t>max pri</t>
  </si>
  <si>
    <t>product in west</t>
  </si>
  <si>
    <t>hlookup</t>
  </si>
  <si>
    <t xml:space="preserve">Qty </t>
  </si>
  <si>
    <t>sales btw 10to40</t>
  </si>
  <si>
    <t>Row Labels</t>
  </si>
  <si>
    <t>Grand Total</t>
  </si>
  <si>
    <t>Sum of Amount</t>
  </si>
  <si>
    <t>Sum of Profit10%</t>
  </si>
  <si>
    <t>Sum of Qty</t>
  </si>
  <si>
    <t>Sum of Price</t>
  </si>
  <si>
    <t xml:space="preserv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</si>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</sst>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48"/>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3"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0" fontId="1" fillId="2" borderId="1" xfId="0" applyFont="1" applyFill="1" applyBorder="1"/>
    <xf numFmtId="14" fontId="0" fillId="0" borderId="1" xfId="0" applyNumberFormat="1" applyBorder="1"/>
    <xf numFmtId="0" fontId="0" fillId="0" borderId="1" xfId="0" applyBorder="1"/>
    <xf numFmtId="0" fontId="1" fillId="2" borderId="2" xfId="0" applyFont="1" applyFill="1" applyBorder="1"/>
    <xf numFmtId="0" fontId="0" fillId="3" borderId="1" xfId="0" applyFill="1" applyBorder="1"/>
    <xf numFmtId="0" fontId="0" fillId="6" borderId="1" xfId="0" applyFill="1" applyBorder="1"/>
    <xf numFmtId="0" fontId="0" fillId="6" borderId="0" xfId="0" applyFill="1"/>
    <xf numFmtId="0" fontId="0" fillId="2" borderId="0" xfId="0" applyFill="1"/>
    <xf numFmtId="0" fontId="0" fillId="0" borderId="0" xfId="0" pivotButton="1"/>
    <xf numFmtId="0" fontId="0" fillId="0" borderId="0" xfId="0" applyAlignment="1">
      <alignment horizontal="left"/>
    </xf>
    <xf numFmtId="0" fontId="0" fillId="5" borderId="0" xfId="0" applyFill="1"/>
    <xf numFmtId="0" fontId="0" fillId="7" borderId="5" xfId="0" applyFill="1" applyBorder="1"/>
    <xf numFmtId="0" fontId="0" fillId="7" borderId="3" xfId="0" applyFill="1" applyBorder="1"/>
    <xf numFmtId="0" fontId="0" fillId="7" borderId="6" xfId="0" applyFill="1" applyBorder="1"/>
    <xf numFmtId="0" fontId="0" fillId="7" borderId="7" xfId="0" applyFill="1" applyBorder="1"/>
    <xf numFmtId="0" fontId="0" fillId="7" borderId="0" xfId="0" applyFill="1"/>
    <xf numFmtId="0" fontId="0" fillId="7" borderId="8" xfId="0" applyFill="1" applyBorder="1"/>
    <xf numFmtId="0" fontId="0" fillId="7" borderId="9" xfId="0" applyFill="1" applyBorder="1"/>
    <xf numFmtId="0" fontId="0" fillId="7" borderId="4" xfId="0" applyFill="1" applyBorder="1"/>
    <xf numFmtId="0" fontId="0" fillId="7" borderId="10" xfId="0" applyFill="1" applyBorder="1"/>
    <xf numFmtId="0" fontId="2" fillId="4" borderId="11" xfId="0" applyFont="1" applyFill="1" applyBorder="1"/>
    <xf numFmtId="0" fontId="2" fillId="4" borderId="12" xfId="0" applyFont="1" applyFill="1" applyBorder="1"/>
    <xf numFmtId="0" fontId="2" fillId="4" borderId="13"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82D3DE"/>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[data2.xlsx]graph!PivotTable1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7566498217575"/>
          <c:y val="0.37081463873619569"/>
          <c:w val="0.7042418321776942"/>
          <c:h val="0.35888476204625364"/>
        </c:manualLayout>
      </c:layout>
      <c:barChart>
        <c:barDir val="col"/>
        <c:grouping val="clustered"/>
        <c:varyColors val="0"/>
        <c:ser>
          <c:idx val="0"/>
          <c:order val="0"/>
          <c:tx>
            <c:strRef>
              <c:f>graph!$B$3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graph!$A$4:$A$8</c:f>
              <c:strCache>
                <c:ptCount val="4"/>
                <c:pt idx="0">
                  <c:v>East</c:v>
                </c:pt>
                <c:pt idx="1">
                  <c:v>North </c:v>
                </c:pt>
                <c:pt idx="2">
                  <c:v>South</c:v>
                </c:pt>
                <c:pt idx="3">
                  <c:v>West</c:v>
                </c:pt>
              </c:strCache>
            </c:strRef>
          </c:cat>
          <c:val>
            <c:numRef>
              <c:f>graph!$B$4:$B$8</c:f>
              <c:numCache>
                <c:formatCode>General</c:formatCode>
                <c:ptCount val="4"/>
                <c:pt idx="0">
                  <c:v>318940</c:v>
                </c:pt>
                <c:pt idx="1">
                  <c:v>205700</c:v>
                </c:pt>
                <c:pt idx="2">
                  <c:v>59000</c:v>
                </c:pt>
                <c:pt idx="3">
                  <c:v>197000</c:v>
                </c:pt>
              </c:numCache>
            </c:numRef>
          </c:val>
          <c:extLst>
            <c:ext xmlns:c16="http://schemas.microsoft.com/office/drawing/2014/chart" uri="{C3380CC4-5D6E-409C-BE32-E72D297353CC}">
              <c16:uniqueId val="{00000000-6C86-4291-B61A-AFF892ABC4FB}"/>
            </c:ext>
          </c:extLst>
        </c:ser>
        <c:dLbls>
          <c:showLegendKey val="0"/>
          <c:showVal val="0"/>
          <c:showCatName val="0"/>
          <c:showSerName val="0"/>
          <c:showPercent val="0"/>
          <c:showBubbleSize val="0"/>
        </c:dLbls>
        <c:gapWidth val="100"/>
        <c:overlap val="-24"/>
        <c:axId val="1627771424"/>
        <c:axId val="1574265232"/>
      </c:barChart>
      <c:catAx>
        <c:axId val="162777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265232"/>
        <c:crosses val="autoZero"/>
        <c:auto val="1"/>
        <c:lblAlgn val="ctr"/>
        <c:lblOffset val="100"/>
        <c:noMultiLvlLbl val="0"/>
      </c:catAx>
      <c:valAx>
        <c:axId val="1574265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77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[data2.xlsx]graph!PivotTable2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graph!$B$17</c:f>
              <c:strCache>
                <c:ptCount val="1"/>
                <c:pt idx="0">
                  <c:v>Total</c:v>
                </c:pt>
              </c:strCache>
            </c:strRef>
          </c:tx>
          <c:spPr>
            <a:solidFill>
              <a:schemeClr val="accent1"/>
            </a:solidFill>
            <a:ln>
              <a:noFill/>
            </a:ln>
            <a:effectLst/>
          </c:spPr>
          <c:invertIfNegative val="0"/>
          <c:cat>
            <c:strRef>
              <c:f>graph!$A$18:$A$25</c:f>
              <c:strCache>
                <c:ptCount val="7"/>
                <c:pt idx="0">
                  <c:v> keyboard</c:v>
                </c:pt>
                <c:pt idx="1">
                  <c:v>HDD256 GB</c:v>
                </c:pt>
                <c:pt idx="2">
                  <c:v>Monitor</c:v>
                </c:pt>
                <c:pt idx="3">
                  <c:v>Mouse</c:v>
                </c:pt>
                <c:pt idx="4">
                  <c:v>Printer</c:v>
                </c:pt>
                <c:pt idx="5">
                  <c:v>Scanner</c:v>
                </c:pt>
                <c:pt idx="6">
                  <c:v>SSD256 GB</c:v>
                </c:pt>
              </c:strCache>
            </c:strRef>
          </c:cat>
          <c:val>
            <c:numRef>
              <c:f>graph!$B$18:$B$25</c:f>
              <c:numCache>
                <c:formatCode>General</c:formatCode>
                <c:ptCount val="7"/>
                <c:pt idx="0">
                  <c:v>14</c:v>
                </c:pt>
                <c:pt idx="1">
                  <c:v>23</c:v>
                </c:pt>
                <c:pt idx="2">
                  <c:v>30</c:v>
                </c:pt>
                <c:pt idx="3">
                  <c:v>68</c:v>
                </c:pt>
                <c:pt idx="4">
                  <c:v>67</c:v>
                </c:pt>
                <c:pt idx="5">
                  <c:v>76</c:v>
                </c:pt>
                <c:pt idx="6">
                  <c:v>34</c:v>
                </c:pt>
              </c:numCache>
            </c:numRef>
          </c:val>
          <c:extLst>
            <c:ext xmlns:c16="http://schemas.microsoft.com/office/drawing/2014/chart" uri="{C3380CC4-5D6E-409C-BE32-E72D297353CC}">
              <c16:uniqueId val="{00000000-289A-481C-B120-6F4637C10FF0}"/>
            </c:ext>
          </c:extLst>
        </c:ser>
        <c:dLbls>
          <c:showLegendKey val="0"/>
          <c:showVal val="0"/>
          <c:showCatName val="0"/>
          <c:showSerName val="0"/>
          <c:showPercent val="0"/>
          <c:showBubbleSize val="0"/>
        </c:dLbls>
        <c:gapWidth val="219"/>
        <c:overlap val="-27"/>
        <c:axId val="365052783"/>
        <c:axId val="336391951"/>
      </c:barChart>
      <c:catAx>
        <c:axId val="36505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91951"/>
        <c:crosses val="autoZero"/>
        <c:auto val="1"/>
        <c:lblAlgn val="ctr"/>
        <c:lblOffset val="100"/>
        <c:noMultiLvlLbl val="0"/>
      </c:catAx>
      <c:valAx>
        <c:axId val="33639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05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[data2.xlsx]graph!PivotTable3</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graph!$B$30</c:f>
              <c:strCache>
                <c:ptCount val="1"/>
                <c:pt idx="0">
                  <c:v>Total</c:v>
                </c:pt>
              </c:strCache>
            </c:strRef>
          </c:tx>
          <c:spPr>
            <a:solidFill>
              <a:schemeClr val="accent1"/>
            </a:solidFill>
            <a:ln>
              <a:noFill/>
            </a:ln>
            <a:effectLst/>
          </c:spPr>
          <c:invertIfNegative val="0"/>
          <c:cat>
            <c:strRef>
              <c:f>graph!$A$31:$A$35</c:f>
              <c:strCache>
                <c:ptCount val="4"/>
                <c:pt idx="0">
                  <c:v>East</c:v>
                </c:pt>
                <c:pt idx="1">
                  <c:v>North </c:v>
                </c:pt>
                <c:pt idx="2">
                  <c:v>South</c:v>
                </c:pt>
                <c:pt idx="3">
                  <c:v>West</c:v>
                </c:pt>
              </c:strCache>
            </c:strRef>
          </c:cat>
          <c:val>
            <c:numRef>
              <c:f>graph!$B$31:$B$35</c:f>
              <c:numCache>
                <c:formatCode>General</c:formatCode>
                <c:ptCount val="4"/>
                <c:pt idx="0">
                  <c:v>31894</c:v>
                </c:pt>
                <c:pt idx="1">
                  <c:v>20570</c:v>
                </c:pt>
                <c:pt idx="2">
                  <c:v>5900</c:v>
                </c:pt>
                <c:pt idx="3">
                  <c:v>19700</c:v>
                </c:pt>
              </c:numCache>
            </c:numRef>
          </c:val>
          <c:extLst>
            <c:ext xmlns:c16="http://schemas.microsoft.com/office/drawing/2014/chart" uri="{C3380CC4-5D6E-409C-BE32-E72D297353CC}">
              <c16:uniqueId val="{00000000-1E21-4798-947F-8DD5D1D426D3}"/>
            </c:ext>
          </c:extLst>
        </c:ser>
        <c:dLbls>
          <c:showLegendKey val="0"/>
          <c:showVal val="0"/>
          <c:showCatName val="0"/>
          <c:showSerName val="0"/>
          <c:showPercent val="0"/>
          <c:showBubbleSize val="0"/>
        </c:dLbls>
        <c:gapWidth val="219"/>
        <c:overlap val="-27"/>
        <c:axId val="365283855"/>
        <c:axId val="336370351"/>
      </c:barChart>
      <c:catAx>
        <c:axId val="36528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70351"/>
        <c:crosses val="autoZero"/>
        <c:auto val="1"/>
        <c:lblAlgn val="ctr"/>
        <c:lblOffset val="100"/>
        <c:noMultiLvlLbl val="0"/>
      </c:catAx>
      <c:valAx>
        <c:axId val="33637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8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[data2.xlsx]graph!PivotTable4</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graph!$B$42</c:f>
              <c:strCache>
                <c:ptCount val="1"/>
                <c:pt idx="0">
                  <c:v>Total</c:v>
                </c:pt>
              </c:strCache>
            </c:strRef>
          </c:tx>
          <c:spPr>
            <a:solidFill>
              <a:schemeClr val="accent1"/>
            </a:solidFill>
            <a:ln>
              <a:noFill/>
            </a:ln>
            <a:effectLst/>
          </c:spPr>
          <c:invertIfNegative val="0"/>
          <c:cat>
            <c:strRef>
              <c:f>graph!$A$43:$A$48</c:f>
              <c:strCache>
                <c:ptCount val="5"/>
                <c:pt idx="0">
                  <c:v>Art</c:v>
                </c:pt>
                <c:pt idx="1">
                  <c:v>Computer</c:v>
                </c:pt>
                <c:pt idx="2">
                  <c:v>Electronic</c:v>
                </c:pt>
                <c:pt idx="3">
                  <c:v>Mobile</c:v>
                </c:pt>
                <c:pt idx="4">
                  <c:v>Storage</c:v>
                </c:pt>
              </c:strCache>
            </c:strRef>
          </c:cat>
          <c:val>
            <c:numRef>
              <c:f>graph!$B$43:$B$48</c:f>
              <c:numCache>
                <c:formatCode>General</c:formatCode>
                <c:ptCount val="5"/>
                <c:pt idx="0">
                  <c:v>35720</c:v>
                </c:pt>
                <c:pt idx="1">
                  <c:v>11844</c:v>
                </c:pt>
                <c:pt idx="2">
                  <c:v>12700</c:v>
                </c:pt>
                <c:pt idx="3">
                  <c:v>7650</c:v>
                </c:pt>
                <c:pt idx="4">
                  <c:v>10150</c:v>
                </c:pt>
              </c:numCache>
            </c:numRef>
          </c:val>
          <c:extLst>
            <c:ext xmlns:c16="http://schemas.microsoft.com/office/drawing/2014/chart" uri="{C3380CC4-5D6E-409C-BE32-E72D297353CC}">
              <c16:uniqueId val="{00000000-BD39-4059-823E-F156801274D8}"/>
            </c:ext>
          </c:extLst>
        </c:ser>
        <c:dLbls>
          <c:showLegendKey val="0"/>
          <c:showVal val="0"/>
          <c:showCatName val="0"/>
          <c:showSerName val="0"/>
          <c:showPercent val="0"/>
          <c:showBubbleSize val="0"/>
        </c:dLbls>
        <c:gapWidth val="182"/>
        <c:axId val="365269935"/>
        <c:axId val="2057501583"/>
      </c:barChart>
      <c:catAx>
        <c:axId val="36526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01583"/>
        <c:crosses val="autoZero"/>
        <c:auto val="1"/>
        <c:lblAlgn val="ctr"/>
        <c:lblOffset val="100"/>
        <c:noMultiLvlLbl val="0"/>
      </c:catAx>
      <c:valAx>
        <c:axId val="2057501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[data2.xlsx]graph!PivotTable1</c:name>
    <c:fmtId val="10"/>
  </c:pivotSource>
  <c:chart>
    <c:title>
      <c:tx>
        <c:rich>
          <a:bodyPr rot="0" spcFirstLastPara="1" vertOverflow="ellipsis" vert="horz" wrap="square" anchor="ctr" anchorCtr="1"/>
          <a:lstStyle/>
          <a:p>
            <a:pPr>
              <a:defRPr sz="1600" b="1" i="0" u="none" strike="noStrike" kern="1200" spc="1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r>
              <a:rPr lang="en-US"/>
              <a:t>Total sales by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outerShdw blurRad="50800" dist="50800" dir="5400000" algn="ctr" rotWithShape="0">
                      <a:srgbClr val="000000">
                        <a:alpha val="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outerShdw blurRad="50800" dist="50800" dir="5400000" algn="ctr" rotWithShape="0">
                      <a:srgbClr val="000000">
                        <a:alpha val="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7566498217575"/>
          <c:y val="0.37081463873619569"/>
          <c:w val="0.7042418321776942"/>
          <c:h val="0.35888476204625364"/>
        </c:manualLayout>
      </c:layout>
      <c:barChart>
        <c:barDir val="col"/>
        <c:grouping val="clustered"/>
        <c:varyColors val="0"/>
        <c:ser>
          <c:idx val="0"/>
          <c:order val="0"/>
          <c:tx>
            <c:strRef>
              <c:f>graph!$B$3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graph!$A$4:$A$8</c:f>
              <c:strCache>
                <c:ptCount val="4"/>
                <c:pt idx="0">
                  <c:v>East</c:v>
                </c:pt>
                <c:pt idx="1">
                  <c:v>North </c:v>
                </c:pt>
                <c:pt idx="2">
                  <c:v>South</c:v>
                </c:pt>
                <c:pt idx="3">
                  <c:v>West</c:v>
                </c:pt>
              </c:strCache>
            </c:strRef>
          </c:cat>
          <c:val>
            <c:numRef>
              <c:f>graph!$B$4:$B$8</c:f>
              <c:numCache>
                <c:formatCode>General</c:formatCode>
                <c:ptCount val="4"/>
                <c:pt idx="0">
                  <c:v>318940</c:v>
                </c:pt>
                <c:pt idx="1">
                  <c:v>205700</c:v>
                </c:pt>
                <c:pt idx="2">
                  <c:v>59000</c:v>
                </c:pt>
                <c:pt idx="3">
                  <c:v>197000</c:v>
                </c:pt>
              </c:numCache>
            </c:numRef>
          </c:val>
          <c:extLst>
            <c:ext xmlns:c16="http://schemas.microsoft.com/office/drawing/2014/chart" uri="{C3380CC4-5D6E-409C-BE32-E72D297353CC}">
              <c16:uniqueId val="{00000000-70EB-4250-B863-CAAC36DFB81F}"/>
            </c:ext>
          </c:extLst>
        </c:ser>
        <c:dLbls>
          <c:showLegendKey val="0"/>
          <c:showVal val="0"/>
          <c:showCatName val="0"/>
          <c:showSerName val="0"/>
          <c:showPercent val="0"/>
          <c:showBubbleSize val="0"/>
        </c:dLbls>
        <c:gapWidth val="100"/>
        <c:overlap val="-24"/>
        <c:axId val="1627771424"/>
        <c:axId val="1574265232"/>
      </c:barChart>
      <c:catAx>
        <c:axId val="162777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crossAx val="1574265232"/>
        <c:crosses val="autoZero"/>
        <c:auto val="1"/>
        <c:lblAlgn val="ctr"/>
        <c:lblOffset val="100"/>
        <c:noMultiLvlLbl val="0"/>
      </c:catAx>
      <c:valAx>
        <c:axId val="1574265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crossAx val="162777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63500"/>
    </a:effectLst>
  </c:spPr>
  <c:txPr>
    <a:bodyPr/>
    <a:lstStyle/>
    <a:p>
      <a:pPr>
        <a:defRPr>
          <a:solidFill>
            <a:schemeClr val="bg1">
              <a:alpha val="50000"/>
            </a:schemeClr>
          </a:solidFill>
          <a:effectLst>
            <a:outerShdw blurRad="50800" dist="50800" dir="5400000" algn="ctr" rotWithShape="0">
              <a:srgbClr val="000000">
                <a:alpha val="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[data2.xlsx]graph!PivotTable2</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 qty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graph!$B$17</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graph!$A$18:$A$25</c:f>
              <c:strCache>
                <c:ptCount val="7"/>
                <c:pt idx="0">
                  <c:v> keyboard</c:v>
                </c:pt>
                <c:pt idx="1">
                  <c:v>HDD256 GB</c:v>
                </c:pt>
                <c:pt idx="2">
                  <c:v>Monitor</c:v>
                </c:pt>
                <c:pt idx="3">
                  <c:v>Mouse</c:v>
                </c:pt>
                <c:pt idx="4">
                  <c:v>Printer</c:v>
                </c:pt>
                <c:pt idx="5">
                  <c:v>Scanner</c:v>
                </c:pt>
                <c:pt idx="6">
                  <c:v>SSD256 GB</c:v>
                </c:pt>
              </c:strCache>
            </c:strRef>
          </c:cat>
          <c:val>
            <c:numRef>
              <c:f>graph!$B$18:$B$25</c:f>
              <c:numCache>
                <c:formatCode>General</c:formatCode>
                <c:ptCount val="7"/>
                <c:pt idx="0">
                  <c:v>14</c:v>
                </c:pt>
                <c:pt idx="1">
                  <c:v>23</c:v>
                </c:pt>
                <c:pt idx="2">
                  <c:v>30</c:v>
                </c:pt>
                <c:pt idx="3">
                  <c:v>68</c:v>
                </c:pt>
                <c:pt idx="4">
                  <c:v>67</c:v>
                </c:pt>
                <c:pt idx="5">
                  <c:v>76</c:v>
                </c:pt>
                <c:pt idx="6">
                  <c:v>34</c:v>
                </c:pt>
              </c:numCache>
            </c:numRef>
          </c:val>
          <c:extLst>
            <c:ext xmlns:c16="http://schemas.microsoft.com/office/drawing/2014/chart" uri="{C3380CC4-5D6E-409C-BE32-E72D297353CC}">
              <c16:uniqueId val="{00000000-9235-42ED-811C-ADA4035EA548}"/>
            </c:ext>
          </c:extLst>
        </c:ser>
        <c:dLbls>
          <c:dLblPos val="inEnd"/>
          <c:showLegendKey val="0"/>
          <c:showVal val="1"/>
          <c:showCatName val="0"/>
          <c:showSerName val="0"/>
          <c:showPercent val="0"/>
          <c:showBubbleSize val="0"/>
        </c:dLbls>
        <c:gapWidth val="315"/>
        <c:overlap val="-40"/>
        <c:axId val="365052783"/>
        <c:axId val="336391951"/>
      </c:barChart>
      <c:catAx>
        <c:axId val="3650527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6391951"/>
        <c:crosses val="autoZero"/>
        <c:auto val="1"/>
        <c:lblAlgn val="ctr"/>
        <c:lblOffset val="100"/>
        <c:noMultiLvlLbl val="0"/>
      </c:catAx>
      <c:valAx>
        <c:axId val="336391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505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[data2.xlsx]graph!PivotTable3</c:name>
    <c:fmtId val="25"/>
  </c:pivotSource>
  <c:chart>
    <c:title>
      <c:tx>
        <c:rich>
          <a:bodyPr rot="0" spcFirstLastPara="1" vertOverflow="ellipsis" vert="horz" wrap="square" anchor="ctr" anchorCtr="1"/>
          <a:lstStyle/>
          <a:p>
            <a:pPr>
              <a:defRPr sz="1400" b="1" i="0" u="none" strike="noStrike" kern="1200" cap="none"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r>
              <a:rPr lang="en-US"/>
              <a:t>region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pivotFmt>
      <c:pivotFmt>
        <c:idx val="4"/>
        <c:spPr>
          <a:solidFill>
            <a:schemeClr val="tx2">
              <a:lumMod val="75000"/>
            </a:schemeClr>
          </a:solidFill>
          <a:ln w="9525" cap="flat" cmpd="sng" algn="ctr">
            <a:solidFill>
              <a:schemeClr val="tx2">
                <a:lumMod val="20000"/>
                <a:lumOff val="80000"/>
              </a:schemeClr>
            </a:solidFill>
            <a:miter lim="800000"/>
          </a:ln>
          <a:effectLst>
            <a:glow rad="63500">
              <a:schemeClr val="accent1">
                <a:satMod val="175000"/>
                <a:alpha val="25000"/>
              </a:schemeClr>
            </a:glow>
          </a:effectLst>
          <a:sp3d contourW="9525">
            <a:contourClr>
              <a:schemeClr val="tx2">
                <a:lumMod val="20000"/>
                <a:lumOff val="80000"/>
              </a:schemeClr>
            </a:contourClr>
          </a:sp3d>
        </c:spPr>
      </c:pivotFmt>
      <c:pivotFmt>
        <c:idx val="5"/>
        <c:spPr>
          <a:solidFill>
            <a:schemeClr val="tx2">
              <a:lumMod val="60000"/>
              <a:lumOff val="40000"/>
            </a:schemeClr>
          </a:solidFill>
          <a:ln w="9525" cap="flat" cmpd="sng" algn="ctr">
            <a:solidFill>
              <a:schemeClr val="bg2">
                <a:lumMod val="75000"/>
              </a:schemeClr>
            </a:solidFill>
            <a:miter lim="800000"/>
          </a:ln>
          <a:effectLst>
            <a:glow rad="63500">
              <a:schemeClr val="accent1">
                <a:satMod val="175000"/>
                <a:alpha val="25000"/>
              </a:schemeClr>
            </a:glow>
          </a:effectLst>
          <a:sp3d contourW="9525">
            <a:contourClr>
              <a:schemeClr val="bg2">
                <a:lumMod val="75000"/>
              </a:schemeClr>
            </a:contourClr>
          </a:sp3d>
        </c:spPr>
      </c:pivotFmt>
      <c:pivotFmt>
        <c:idx val="6"/>
        <c:spPr>
          <a:solidFill>
            <a:schemeClr val="tx2">
              <a:lumMod val="40000"/>
              <a:lumOff val="60000"/>
            </a:schemeClr>
          </a:solid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graph!$B$30</c:f>
              <c:strCache>
                <c:ptCount val="1"/>
                <c:pt idx="0">
                  <c:v>Total</c:v>
                </c:pt>
              </c:strCache>
            </c:strRef>
          </c:tx>
          <c:dPt>
            <c:idx val="0"/>
            <c:bubble3D val="0"/>
            <c:spPr>
              <a:solidFill>
                <a:schemeClr val="tx2">
                  <a:lumMod val="75000"/>
                </a:schemeClr>
              </a:solidFill>
              <a:ln w="9525" cap="flat" cmpd="sng" algn="ctr">
                <a:solidFill>
                  <a:schemeClr val="tx2">
                    <a:lumMod val="20000"/>
                    <a:lumOff val="80000"/>
                  </a:schemeClr>
                </a:solidFill>
                <a:miter lim="800000"/>
              </a:ln>
              <a:effectLst>
                <a:glow rad="63500">
                  <a:schemeClr val="accent1">
                    <a:satMod val="175000"/>
                    <a:alpha val="25000"/>
                  </a:schemeClr>
                </a:glow>
              </a:effectLst>
              <a:sp3d contourW="9525">
                <a:contourClr>
                  <a:schemeClr val="tx2">
                    <a:lumMod val="20000"/>
                    <a:lumOff val="80000"/>
                  </a:schemeClr>
                </a:contourClr>
              </a:sp3d>
            </c:spPr>
            <c:extLst>
              <c:ext xmlns:c16="http://schemas.microsoft.com/office/drawing/2014/chart" uri="{C3380CC4-5D6E-409C-BE32-E72D297353CC}">
                <c16:uniqueId val="{00000001-613B-45E5-89AB-585561FCB73E}"/>
              </c:ext>
            </c:extLst>
          </c:dPt>
          <c:dPt>
            <c:idx val="1"/>
            <c:bubble3D val="0"/>
            <c:spPr>
              <a:solidFill>
                <a:schemeClr val="tx2">
                  <a:lumMod val="60000"/>
                  <a:lumOff val="40000"/>
                </a:schemeClr>
              </a:solidFill>
              <a:ln w="9525" cap="flat" cmpd="sng" algn="ctr">
                <a:solidFill>
                  <a:schemeClr val="bg2">
                    <a:lumMod val="75000"/>
                  </a:schemeClr>
                </a:solidFill>
                <a:miter lim="800000"/>
              </a:ln>
              <a:effectLst>
                <a:glow rad="63500">
                  <a:schemeClr val="accent2">
                    <a:satMod val="175000"/>
                    <a:alpha val="25000"/>
                  </a:schemeClr>
                </a:glow>
              </a:effectLst>
              <a:sp3d contourW="9525">
                <a:contourClr>
                  <a:schemeClr val="bg2">
                    <a:lumMod val="75000"/>
                  </a:schemeClr>
                </a:contourClr>
              </a:sp3d>
            </c:spPr>
            <c:extLst>
              <c:ext xmlns:c16="http://schemas.microsoft.com/office/drawing/2014/chart" uri="{C3380CC4-5D6E-409C-BE32-E72D297353CC}">
                <c16:uniqueId val="{00000002-613B-45E5-89AB-585561FCB73E}"/>
              </c:ext>
            </c:extLst>
          </c:dPt>
          <c:dPt>
            <c:idx val="2"/>
            <c:bubble3D val="0"/>
            <c:spPr>
              <a:solidFill>
                <a:schemeClr val="tx2">
                  <a:lumMod val="40000"/>
                  <a:lumOff val="60000"/>
                </a:schemeClr>
              </a:solidFill>
              <a:ln w="9525" cap="flat" cmpd="sng" algn="ctr">
                <a:solidFill>
                  <a:schemeClr val="accent3"/>
                </a:solidFill>
                <a:miter lim="800000"/>
              </a:ln>
              <a:effectLst>
                <a:glow rad="63500">
                  <a:schemeClr val="accent3">
                    <a:satMod val="175000"/>
                    <a:alpha val="25000"/>
                  </a:schemeClr>
                </a:glow>
              </a:effectLst>
              <a:sp3d contourW="9525">
                <a:contourClr>
                  <a:schemeClr val="accent3"/>
                </a:contourClr>
              </a:sp3d>
            </c:spPr>
            <c:extLst>
              <c:ext xmlns:c16="http://schemas.microsoft.com/office/drawing/2014/chart" uri="{C3380CC4-5D6E-409C-BE32-E72D297353CC}">
                <c16:uniqueId val="{00000003-613B-45E5-89AB-585561FCB73E}"/>
              </c:ext>
            </c:extLst>
          </c:dPt>
          <c:dPt>
            <c:idx val="3"/>
            <c:bubble3D val="0"/>
            <c:spPr>
              <a:solidFill>
                <a:schemeClr val="accent6">
                  <a:lumMod val="75000"/>
                </a:schemeClr>
              </a:solidFill>
              <a:ln w="9525" cap="flat" cmpd="sng" algn="ctr">
                <a:solidFill>
                  <a:schemeClr val="accent4"/>
                </a:solidFill>
                <a:miter lim="800000"/>
              </a:ln>
              <a:effectLst>
                <a:glow rad="63500">
                  <a:schemeClr val="accent4">
                    <a:satMod val="175000"/>
                    <a:alpha val="25000"/>
                  </a:schemeClr>
                </a:glow>
              </a:effectLst>
              <a:sp3d contourW="9525">
                <a:contourClr>
                  <a:schemeClr val="accent4"/>
                </a:contourClr>
              </a:sp3d>
            </c:spPr>
            <c:extLst>
              <c:ext xmlns:c16="http://schemas.microsoft.com/office/drawing/2014/chart" uri="{C3380CC4-5D6E-409C-BE32-E72D297353CC}">
                <c16:uniqueId val="{00000000-613B-45E5-89AB-585561FCB73E}"/>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graph!$A$31:$A$35</c:f>
              <c:strCache>
                <c:ptCount val="4"/>
                <c:pt idx="0">
                  <c:v>East</c:v>
                </c:pt>
                <c:pt idx="1">
                  <c:v>North </c:v>
                </c:pt>
                <c:pt idx="2">
                  <c:v>South</c:v>
                </c:pt>
                <c:pt idx="3">
                  <c:v>West</c:v>
                </c:pt>
              </c:strCache>
            </c:strRef>
          </c:cat>
          <c:val>
            <c:numRef>
              <c:f>graph!$B$31:$B$35</c:f>
              <c:numCache>
                <c:formatCode>General</c:formatCode>
                <c:ptCount val="4"/>
                <c:pt idx="0">
                  <c:v>31894</c:v>
                </c:pt>
                <c:pt idx="1">
                  <c:v>20570</c:v>
                </c:pt>
                <c:pt idx="2">
                  <c:v>5900</c:v>
                </c:pt>
                <c:pt idx="3">
                  <c:v>19700</c:v>
                </c:pt>
              </c:numCache>
            </c:numRef>
          </c:val>
          <c:extLst>
            <c:ext xmlns:c16="http://schemas.microsoft.com/office/drawing/2014/chart" uri="{C3380CC4-5D6E-409C-BE32-E72D297353CC}">
              <c16:uniqueId val="{00000000-F7BD-4841-8022-CBEBF2640C7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softEdge rad="63500"/>
    </a:effectLst>
  </c:spPr>
  <c:txPr>
    <a:bodyPr/>
    <a:lstStyle/>
    <a:p>
      <a:pPr>
        <a:defRPr>
          <a:solidFill>
            <a:schemeClr val="bg1">
              <a:alpha val="50000"/>
            </a:schemeClr>
          </a:solidFill>
          <a:effectLst>
            <a:outerShdw blurRad="50800" dist="50800" dir="5400000" algn="ctr" rotWithShape="0">
              <a:srgbClr val="000000">
                <a:alpha val="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[data2.xlsx]graph!PivotTable4</c:name>
    <c:fmtId val="29"/>
  </c:pivotSource>
  <c:chart>
    <c:title>
      <c:tx>
        <c:rich>
          <a:bodyPr rot="0" spcFirstLastPara="1" vertOverflow="ellipsis" vert="horz" wrap="square" anchor="ctr" anchorCtr="1"/>
          <a:lstStyle/>
          <a:p>
            <a:pPr>
              <a:defRPr sz="1600" b="1" i="0" u="none" strike="noStrike" kern="1200" spc="1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r>
              <a:rPr lang="en-IN"/>
              <a:t>category</a:t>
            </a:r>
            <a:r>
              <a:rPr lang="en-IN" baseline="0"/>
              <a:t> profit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graph!$B$42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graph!$A$43:$A$48</c:f>
              <c:strCache>
                <c:ptCount val="5"/>
                <c:pt idx="0">
                  <c:v>Art</c:v>
                </c:pt>
                <c:pt idx="1">
                  <c:v>Computer</c:v>
                </c:pt>
                <c:pt idx="2">
                  <c:v>Electronic</c:v>
                </c:pt>
                <c:pt idx="3">
                  <c:v>Mobile</c:v>
                </c:pt>
                <c:pt idx="4">
                  <c:v>Storage</c:v>
                </c:pt>
              </c:strCache>
            </c:strRef>
          </c:cat>
          <c:val>
            <c:numRef>
              <c:f>graph!$B$43:$B$48</c:f>
              <c:numCache>
                <c:formatCode>General</c:formatCode>
                <c:ptCount val="5"/>
                <c:pt idx="0">
                  <c:v>35720</c:v>
                </c:pt>
                <c:pt idx="1">
                  <c:v>11844</c:v>
                </c:pt>
                <c:pt idx="2">
                  <c:v>12700</c:v>
                </c:pt>
                <c:pt idx="3">
                  <c:v>7650</c:v>
                </c:pt>
                <c:pt idx="4">
                  <c:v>10150</c:v>
                </c:pt>
              </c:numCache>
            </c:numRef>
          </c:val>
          <c:extLst>
            <c:ext xmlns:c16="http://schemas.microsoft.com/office/drawing/2014/chart" uri="{C3380CC4-5D6E-409C-BE32-E72D297353CC}">
              <c16:uniqueId val="{00000000-893E-4DAC-A8A0-5B5C98BE9FD1}"/>
            </c:ext>
          </c:extLst>
        </c:ser>
        <c:dLbls>
          <c:showLegendKey val="0"/>
          <c:showVal val="0"/>
          <c:showCatName val="0"/>
          <c:showSerName val="0"/>
          <c:showPercent val="0"/>
          <c:showBubbleSize val="0"/>
        </c:dLbls>
        <c:gapWidth val="115"/>
        <c:overlap val="-20"/>
        <c:axId val="365269935"/>
        <c:axId val="2057501583"/>
      </c:barChart>
      <c:catAx>
        <c:axId val="3652699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crossAx val="2057501583"/>
        <c:crosses val="autoZero"/>
        <c:auto val="1"/>
        <c:lblAlgn val="ctr"/>
        <c:lblOffset val="100"/>
        <c:noMultiLvlLbl val="0"/>
      </c:catAx>
      <c:valAx>
        <c:axId val="20575015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crossAx val="3652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alpha val="50000"/>
                </a:schemeClr>
              </a:solidFill>
              <a:effectLst>
                <a:outerShdw blurRad="50800" dist="50800" dir="5400000" algn="ctr" rotWithShape="0">
                  <a:srgbClr val="000000">
                    <a:alpha val="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63500"/>
    </a:effectLst>
  </c:spPr>
  <c:txPr>
    <a:bodyPr/>
    <a:lstStyle/>
    <a:p>
      <a:pPr>
        <a:defRPr>
          <a:solidFill>
            <a:schemeClr val="bg1">
              <a:alpha val="50000"/>
            </a:schemeClr>
          </a:solidFill>
          <a:effectLst>
            <a:outerShdw blurRad="50800" dist="50800" dir="5400000" algn="ctr" rotWithShape="0">
              <a:srgbClr val="000000">
                <a:alpha val="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83820</xdr:colOff>
      <xdr:row>1</xdr:row>
      <xdr:rowOff>7620</xdr:rowOff>
    </xdr:from>
    <xdr:to>
      <xdr:col>7</xdr:col>
      <xdr:colOff>906780</xdr:colOff>
      <xdr:row>12</xdr:row>
      <xdr:rowOff>15240</xdr:rowOff>
    </xdr:to>
    <xdr:graphicFrame macro="">
      <xdr:nvGraphicFramePr>
        <xdr:cNvPr id="2" name="Chart 1">
          <a:extLst>
            <a:ext uri="{FF2B5EF4-FFF2-40B4-BE49-F238E27FC236}">
              <a16:creationId xmlns:a16="http://schemas.microsoft.com/office/drawing/2014/main" id="{0F9FA3A2-A878-6945-E71C-60767A059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14</xdr:row>
      <xdr:rowOff>167640</xdr:rowOff>
    </xdr:from>
    <xdr:to>
      <xdr:col>7</xdr:col>
      <xdr:colOff>861060</xdr:colOff>
      <xdr:row>26</xdr:row>
      <xdr:rowOff>83820</xdr:rowOff>
    </xdr:to>
    <xdr:graphicFrame macro="">
      <xdr:nvGraphicFramePr>
        <xdr:cNvPr id="5" name="Chart 4">
          <a:extLst>
            <a:ext uri="{FF2B5EF4-FFF2-40B4-BE49-F238E27FC236}">
              <a16:creationId xmlns:a16="http://schemas.microsoft.com/office/drawing/2014/main" id="{7F82C96A-C475-3E21-9D56-AF37E984C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480060</xdr:colOff>
      <xdr:row>27</xdr:row>
      <xdr:rowOff>91440</xdr:rowOff>
    </xdr:from>
    <xdr:to>
      <xdr:col>7</xdr:col>
      <xdr:colOff>739140</xdr:colOff>
      <xdr:row>38</xdr:row>
      <xdr:rowOff>68580</xdr:rowOff>
    </xdr:to>
    <xdr:graphicFrame macro="">
      <xdr:nvGraphicFramePr>
        <xdr:cNvPr id="7" name="Chart 6">
          <a:extLst>
            <a:ext uri="{FF2B5EF4-FFF2-40B4-BE49-F238E27FC236}">
              <a16:creationId xmlns:a16="http://schemas.microsoft.com/office/drawing/2014/main" id="{080AB2C0-BF66-A400-46C3-3619758DD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388620</xdr:colOff>
      <xdr:row>40</xdr:row>
      <xdr:rowOff>0</xdr:rowOff>
    </xdr:from>
    <xdr:to>
      <xdr:col>7</xdr:col>
      <xdr:colOff>868680</xdr:colOff>
      <xdr:row>51</xdr:row>
      <xdr:rowOff>91440</xdr:rowOff>
    </xdr:to>
    <xdr:graphicFrame macro="">
      <xdr:nvGraphicFramePr>
        <xdr:cNvPr id="8" name="Chart 7">
          <a:extLst>
            <a:ext uri="{FF2B5EF4-FFF2-40B4-BE49-F238E27FC236}">
              <a16:creationId xmlns:a16="http://schemas.microsoft.com/office/drawing/2014/main" id="{1EAF780B-9EEB-2CB8-016B-3607C6671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290582</xdr:colOff>
      <xdr:row>8</xdr:row>
      <xdr:rowOff>131523</xdr:rowOff>
    </xdr:from>
    <xdr:to>
      <xdr:col>7</xdr:col>
      <xdr:colOff>257735</xdr:colOff>
      <xdr:row>23</xdr:row>
      <xdr:rowOff>83507</xdr:rowOff>
    </xdr:to>
    <xdr:graphicFrame macro="">
      <xdr:nvGraphicFramePr>
        <xdr:cNvPr id="2" name="Chart 1">
          <a:extLst>
            <a:ext uri="{FF2B5EF4-FFF2-40B4-BE49-F238E27FC236}">
              <a16:creationId xmlns:a16="http://schemas.microsoft.com/office/drawing/2014/main" id="{7C203061-CA8D-42EA-9BA3-352F48CF9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456470</xdr:colOff>
      <xdr:row>18</xdr:row>
      <xdr:rowOff>187890</xdr:rowOff>
    </xdr:from>
    <xdr:to>
      <xdr:col>17</xdr:col>
      <xdr:colOff>208768</xdr:colOff>
      <xdr:row>26</xdr:row>
      <xdr:rowOff>177452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FB0908D-DEC1-9525-2D04-2305915996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32415" y="4157284"/>
              <a:ext cx="1568572" cy="1500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469725</xdr:colOff>
      <xdr:row>9</xdr:row>
      <xdr:rowOff>31316</xdr:rowOff>
    </xdr:from>
    <xdr:to>
      <xdr:col>17</xdr:col>
      <xdr:colOff>219205</xdr:colOff>
      <xdr:row>18</xdr:row>
      <xdr:rowOff>52192</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B199C6C3-010E-7F09-D104-7A9CA85FA3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45670" y="2317316"/>
              <a:ext cx="1565754" cy="1711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441646</xdr:colOff>
      <xdr:row>27</xdr:row>
      <xdr:rowOff>117118</xdr:rowOff>
    </xdr:from>
    <xdr:to>
      <xdr:col>17</xdr:col>
      <xdr:colOff>208767</xdr:colOff>
      <xdr:row>37</xdr:row>
      <xdr:rowOff>31315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8083A83D-C060-8909-1CC0-AFBCCAE55D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917591" y="5785145"/>
              <a:ext cx="1583395" cy="1793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112058</xdr:colOff>
      <xdr:row>8</xdr:row>
      <xdr:rowOff>135698</xdr:rowOff>
    </xdr:from>
    <xdr:to>
      <xdr:col>14</xdr:col>
      <xdr:colOff>375782</xdr:colOff>
      <xdr:row>23</xdr:row>
      <xdr:rowOff>104384</xdr:rowOff>
    </xdr:to>
    <xdr:graphicFrame macro="">
      <xdr:nvGraphicFramePr>
        <xdr:cNvPr id="7" name="Chart 6">
          <a:extLst>
            <a:ext uri="{FF2B5EF4-FFF2-40B4-BE49-F238E27FC236}">
              <a16:creationId xmlns:a16="http://schemas.microsoft.com/office/drawing/2014/main" id="{A97A9C0C-80E8-457E-BD9E-75C971D0F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277227</xdr:colOff>
      <xdr:row>22</xdr:row>
      <xdr:rowOff>115589</xdr:rowOff>
    </xdr:from>
    <xdr:to>
      <xdr:col>7</xdr:col>
      <xdr:colOff>381613</xdr:colOff>
      <xdr:row>37</xdr:row>
      <xdr:rowOff>115590</xdr:rowOff>
    </xdr:to>
    <xdr:graphicFrame macro="">
      <xdr:nvGraphicFramePr>
        <xdr:cNvPr id="11" name="Chart 10">
          <a:extLst>
            <a:ext uri="{FF2B5EF4-FFF2-40B4-BE49-F238E27FC236}">
              <a16:creationId xmlns:a16="http://schemas.microsoft.com/office/drawing/2014/main" id="{2420DCFD-052C-460A-9B46-553E2C223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177240</xdr:colOff>
      <xdr:row>22</xdr:row>
      <xdr:rowOff>140500</xdr:rowOff>
    </xdr:from>
    <xdr:to>
      <xdr:col>14</xdr:col>
      <xdr:colOff>344466</xdr:colOff>
      <xdr:row>37</xdr:row>
      <xdr:rowOff>114822</xdr:rowOff>
    </xdr:to>
    <xdr:graphicFrame macro="">
      <xdr:nvGraphicFramePr>
        <xdr:cNvPr id="12" name="Chart 11">
          <a:extLst>
            <a:ext uri="{FF2B5EF4-FFF2-40B4-BE49-F238E27FC236}">
              <a16:creationId xmlns:a16="http://schemas.microsoft.com/office/drawing/2014/main" id="{7D89C814-2FCE-4274-938C-FD75B3475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438409</xdr:colOff>
      <xdr:row>4</xdr:row>
      <xdr:rowOff>156577</xdr:rowOff>
    </xdr:from>
    <xdr:to>
      <xdr:col>4</xdr:col>
      <xdr:colOff>219203</xdr:colOff>
      <xdr:row>8</xdr:row>
      <xdr:rowOff>114823</xdr:rowOff>
    </xdr:to>
    <xdr:sp macro="" textlink="graph!D57">
      <xdr:nvSpPr>
        <xdr:cNvPr id="13" name="Rectangle: Rounded Corners 12">
          <a:extLst>
            <a:ext uri="{FF2B5EF4-FFF2-40B4-BE49-F238E27FC236}">
              <a16:creationId xmlns:a16="http://schemas.microsoft.com/office/drawing/2014/main" id="{CE3A9721-A659-14DD-D372-C2D1076B61DA}"/>
            </a:ext>
          </a:extLst>
        </xdr:cNvPr>
        <xdr:cNvSpPr/>
      </xdr:nvSpPr>
      <xdr:spPr>
        <a:xfrm>
          <a:off x="438409" y="1492687"/>
          <a:ext cx="2202493" cy="709807"/>
        </a:xfrm>
        <a:prstGeom prst="roundRect">
          <a:avLst/>
        </a:prstGeom>
        <a:solidFill>
          <a:schemeClr val="accent6">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ln>
                <a:solidFill>
                  <a:schemeClr val="tx1">
                    <a:lumMod val="85000"/>
                    <a:lumOff val="15000"/>
                  </a:schemeClr>
                </a:solidFill>
              </a:ln>
              <a:solidFill>
                <a:srgbClr val="000000"/>
              </a:solidFill>
              <a:latin typeface="Calibri"/>
              <a:ea typeface="Calibri"/>
              <a:cs typeface="Calibri"/>
            </a:rPr>
            <a:t>QTY =&gt; </a:t>
          </a:r>
          <a:fld id="{267D496E-69BD-4473-AB17-6E3039ED6F87}" type="TxLink">
            <a:rPr lang="en-US" sz="1800" b="0" i="0" u="none" strike="noStrike">
              <a:ln>
                <a:solidFill>
                  <a:schemeClr val="tx1">
                    <a:lumMod val="85000"/>
                    <a:lumOff val="15000"/>
                  </a:schemeClr>
                </a:solidFill>
              </a:ln>
              <a:solidFill>
                <a:srgbClr val="000000"/>
              </a:solidFill>
              <a:latin typeface="Calibri"/>
              <a:ea typeface="Calibri"/>
              <a:cs typeface="Calibri"/>
            </a:rPr>
            <a:pPr algn="l"/>
            <a:t>312</a:t>
          </a:fld>
          <a:endParaRPr lang="en-IN" sz="1800">
            <a:ln>
              <a:solidFill>
                <a:schemeClr val="tx1">
                  <a:lumMod val="85000"/>
                  <a:lumOff val="15000"/>
                </a:schemeClr>
              </a:solidFill>
            </a:ln>
          </a:endParaRPr>
        </a:p>
      </xdr:txBody>
    </xdr:sp>
    <xdr:clientData/>
  </xdr:twoCellAnchor>
  <xdr:twoCellAnchor>
    <xdr:from>
      <xdr:col>4</xdr:col>
      <xdr:colOff>313149</xdr:colOff>
      <xdr:row>4</xdr:row>
      <xdr:rowOff>167012</xdr:rowOff>
    </xdr:from>
    <xdr:to>
      <xdr:col>8</xdr:col>
      <xdr:colOff>563671</xdr:colOff>
      <xdr:row>8</xdr:row>
      <xdr:rowOff>114821</xdr:rowOff>
    </xdr:to>
    <xdr:sp macro="" textlink="graph!D61">
      <xdr:nvSpPr>
        <xdr:cNvPr id="15" name="Rectangle: Rounded Corners 14">
          <a:extLst>
            <a:ext uri="{FF2B5EF4-FFF2-40B4-BE49-F238E27FC236}">
              <a16:creationId xmlns:a16="http://schemas.microsoft.com/office/drawing/2014/main" id="{1C141B6A-16A0-DC99-2185-0CAEAA707116}"/>
            </a:ext>
          </a:extLst>
        </xdr:cNvPr>
        <xdr:cNvSpPr/>
      </xdr:nvSpPr>
      <xdr:spPr>
        <a:xfrm>
          <a:off x="2734848" y="1503122"/>
          <a:ext cx="2672220" cy="699370"/>
        </a:xfrm>
        <a:prstGeom prst="roundRect">
          <a:avLst/>
        </a:prstGeom>
        <a:solidFill>
          <a:schemeClr val="accent6">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ln>
                <a:solidFill>
                  <a:schemeClr val="tx1">
                    <a:lumMod val="85000"/>
                    <a:lumOff val="15000"/>
                  </a:schemeClr>
                </a:solidFill>
              </a:ln>
              <a:solidFill>
                <a:srgbClr val="000000"/>
              </a:solidFill>
              <a:latin typeface="Calibri"/>
              <a:ea typeface="Calibri"/>
              <a:cs typeface="Calibri"/>
            </a:rPr>
            <a:t>AMOUNT</a:t>
          </a:r>
          <a:r>
            <a:rPr lang="en-US" sz="1800" b="0" i="0" u="none" strike="noStrike" baseline="0">
              <a:ln>
                <a:solidFill>
                  <a:schemeClr val="tx1">
                    <a:lumMod val="85000"/>
                    <a:lumOff val="15000"/>
                  </a:schemeClr>
                </a:solidFill>
              </a:ln>
              <a:solidFill>
                <a:srgbClr val="000000"/>
              </a:solidFill>
              <a:latin typeface="Calibri"/>
              <a:ea typeface="Calibri"/>
              <a:cs typeface="Calibri"/>
            </a:rPr>
            <a:t> </a:t>
          </a:r>
          <a:r>
            <a:rPr lang="en-US" sz="1800" b="0" i="0" u="none" strike="noStrike">
              <a:ln>
                <a:solidFill>
                  <a:schemeClr val="tx1">
                    <a:lumMod val="85000"/>
                    <a:lumOff val="15000"/>
                  </a:schemeClr>
                </a:solidFill>
              </a:ln>
              <a:solidFill>
                <a:srgbClr val="000000"/>
              </a:solidFill>
              <a:latin typeface="Calibri"/>
              <a:ea typeface="Calibri"/>
              <a:cs typeface="Calibri"/>
            </a:rPr>
            <a:t> =&gt; </a:t>
          </a:r>
          <a:fld id="{D0F79CDE-7991-4954-8CD1-A7C014430CB4}" type="TxLink">
            <a:rPr lang="en-US" sz="1800" b="0" i="0" u="none" strike="noStrike">
              <a:ln>
                <a:solidFill>
                  <a:schemeClr val="tx1">
                    <a:lumMod val="85000"/>
                    <a:lumOff val="15000"/>
                  </a:schemeClr>
                </a:solidFill>
              </a:ln>
              <a:solidFill>
                <a:srgbClr val="000000"/>
              </a:solidFill>
              <a:latin typeface="Calibri"/>
              <a:ea typeface="Calibri"/>
              <a:cs typeface="Calibri"/>
            </a:rPr>
            <a:pPr algn="l"/>
            <a:t>780640</a:t>
          </a:fld>
          <a:endParaRPr lang="en-IN" sz="1800">
            <a:ln>
              <a:solidFill>
                <a:schemeClr val="tx1">
                  <a:lumMod val="85000"/>
                  <a:lumOff val="15000"/>
                </a:schemeClr>
              </a:solidFill>
            </a:ln>
          </a:endParaRPr>
        </a:p>
      </xdr:txBody>
    </xdr:sp>
    <xdr:clientData/>
  </xdr:twoCellAnchor>
  <xdr:twoCellAnchor>
    <xdr:from>
      <xdr:col>9</xdr:col>
      <xdr:colOff>83506</xdr:colOff>
      <xdr:row>4</xdr:row>
      <xdr:rowOff>167013</xdr:rowOff>
    </xdr:from>
    <xdr:to>
      <xdr:col>13</xdr:col>
      <xdr:colOff>104382</xdr:colOff>
      <xdr:row>8</xdr:row>
      <xdr:rowOff>114822</xdr:rowOff>
    </xdr:to>
    <xdr:sp macro="" textlink="graph!D65">
      <xdr:nvSpPr>
        <xdr:cNvPr id="16" name="Rectangle: Rounded Corners 15">
          <a:extLst>
            <a:ext uri="{FF2B5EF4-FFF2-40B4-BE49-F238E27FC236}">
              <a16:creationId xmlns:a16="http://schemas.microsoft.com/office/drawing/2014/main" id="{2833BCB5-49C8-FA02-8766-1A0A46785940}"/>
            </a:ext>
          </a:extLst>
        </xdr:cNvPr>
        <xdr:cNvSpPr/>
      </xdr:nvSpPr>
      <xdr:spPr>
        <a:xfrm>
          <a:off x="5532328" y="1503123"/>
          <a:ext cx="2442575" cy="699370"/>
        </a:xfrm>
        <a:prstGeom prst="roundRect">
          <a:avLst/>
        </a:prstGeom>
        <a:solidFill>
          <a:schemeClr val="accent6">
            <a:lumMod val="60000"/>
            <a:lumOff val="40000"/>
          </a:schemeClr>
        </a:solidFill>
        <a:ln>
          <a:solidFill>
            <a:srgbClr val="7030A0"/>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ln>
                <a:solidFill>
                  <a:schemeClr val="tx1">
                    <a:lumMod val="85000"/>
                    <a:lumOff val="15000"/>
                  </a:schemeClr>
                </a:solidFill>
              </a:ln>
              <a:solidFill>
                <a:srgbClr val="000000"/>
              </a:solidFill>
              <a:latin typeface="Calibri"/>
              <a:ea typeface="Calibri"/>
              <a:cs typeface="Calibri"/>
            </a:rPr>
            <a:t>PROFIT =&gt; </a:t>
          </a:r>
          <a:fld id="{4E53D557-8806-4CD4-9E52-20AA02498D26}" type="TxLink">
            <a:rPr lang="en-US" sz="1800" b="0" i="0" u="none" strike="noStrike">
              <a:ln>
                <a:solidFill>
                  <a:schemeClr val="tx1">
                    <a:lumMod val="85000"/>
                    <a:lumOff val="15000"/>
                  </a:schemeClr>
                </a:solidFill>
              </a:ln>
              <a:solidFill>
                <a:srgbClr val="000000"/>
              </a:solidFill>
              <a:latin typeface="Calibri"/>
              <a:ea typeface="Calibri"/>
              <a:cs typeface="Calibri"/>
            </a:rPr>
            <a:pPr algn="l"/>
            <a:t>78064</a:t>
          </a:fld>
          <a:endParaRPr lang="en-IN" sz="1800">
            <a:ln>
              <a:solidFill>
                <a:schemeClr val="tx1">
                  <a:lumMod val="85000"/>
                  <a:lumOff val="15000"/>
                </a:schemeClr>
              </a:solidFill>
            </a:ln>
          </a:endParaRPr>
        </a:p>
      </xdr:txBody>
    </xdr:sp>
    <xdr:clientData/>
  </xdr:twoCellAnchor>
  <xdr:twoCellAnchor>
    <xdr:from>
      <xdr:col>13</xdr:col>
      <xdr:colOff>198329</xdr:colOff>
      <xdr:row>4</xdr:row>
      <xdr:rowOff>167015</xdr:rowOff>
    </xdr:from>
    <xdr:to>
      <xdr:col>17</xdr:col>
      <xdr:colOff>229645</xdr:colOff>
      <xdr:row>8</xdr:row>
      <xdr:rowOff>104385</xdr:rowOff>
    </xdr:to>
    <xdr:sp macro="" textlink="graph!D69">
      <xdr:nvSpPr>
        <xdr:cNvPr id="17" name="Rectangle: Rounded Corners 16">
          <a:extLst>
            <a:ext uri="{FF2B5EF4-FFF2-40B4-BE49-F238E27FC236}">
              <a16:creationId xmlns:a16="http://schemas.microsoft.com/office/drawing/2014/main" id="{EEC50B14-6CA9-434B-FDB8-6208A09FD9F5}"/>
            </a:ext>
          </a:extLst>
        </xdr:cNvPr>
        <xdr:cNvSpPr/>
      </xdr:nvSpPr>
      <xdr:spPr>
        <a:xfrm>
          <a:off x="8068850" y="1503125"/>
          <a:ext cx="2453014" cy="688931"/>
        </a:xfrm>
        <a:prstGeom prst="roundRect">
          <a:avLst/>
        </a:prstGeom>
        <a:solidFill>
          <a:schemeClr val="accent6">
            <a:lumMod val="60000"/>
            <a:lumOff val="4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ln>
                <a:solidFill>
                  <a:schemeClr val="tx1">
                    <a:lumMod val="85000"/>
                    <a:lumOff val="15000"/>
                  </a:schemeClr>
                </a:solidFill>
              </a:ln>
              <a:solidFill>
                <a:srgbClr val="000000"/>
              </a:solidFill>
              <a:latin typeface="Calibri"/>
              <a:ea typeface="Calibri"/>
              <a:cs typeface="Calibri"/>
            </a:rPr>
            <a:t>PRICE =&gt; </a:t>
          </a:r>
          <a:fld id="{AF5072F6-5C6C-4A9D-B15C-A3352C934FA9}" type="TxLink">
            <a:rPr lang="en-US" sz="1800" b="0" i="0" u="none" strike="noStrike">
              <a:ln>
                <a:solidFill>
                  <a:schemeClr val="tx1">
                    <a:lumMod val="85000"/>
                    <a:lumOff val="15000"/>
                  </a:schemeClr>
                </a:solidFill>
              </a:ln>
              <a:solidFill>
                <a:srgbClr val="000000"/>
              </a:solidFill>
              <a:latin typeface="Calibri"/>
              <a:ea typeface="Calibri"/>
              <a:cs typeface="Calibri"/>
            </a:rPr>
            <a:pPr algn="l"/>
            <a:t>75320</a:t>
          </a:fld>
          <a:endParaRPr lang="en-IN" sz="1800">
            <a:ln>
              <a:solidFill>
                <a:schemeClr val="tx1">
                  <a:lumMod val="85000"/>
                  <a:lumOff val="15000"/>
                </a:schemeClr>
              </a:solidFill>
            </a:ln>
          </a:endParaRPr>
        </a:p>
      </xdr:txBody>
    </xdr:sp>
    <xdr:clientData/>
  </xdr:twoCellAnchor>
  <xdr:twoCellAnchor editAs="oneCell">
    <xdr:from>
      <xdr:col>2</xdr:col>
      <xdr:colOff>594987</xdr:colOff>
      <xdr:row>2</xdr:row>
      <xdr:rowOff>104382</xdr:rowOff>
    </xdr:from>
    <xdr:to>
      <xdr:col>4</xdr:col>
      <xdr:colOff>104383</xdr:colOff>
      <xdr:row>2</xdr:row>
      <xdr:rowOff>772436</xdr:rowOff>
    </xdr:to>
    <xdr:pic>
      <xdr:nvPicPr>
        <xdr:cNvPr id="20" name="Graphic 19" descr="Bar chart with solid fill">
          <a:extLst>
            <a:ext uri="{FF2B5EF4-FFF2-40B4-BE49-F238E27FC236}">
              <a16:creationId xmlns:a16="http://schemas.microsoft.com/office/drawing/2014/main" id="{80468301-6221-71C4-8E44-5B1DB970E79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05836" y="480163"/>
          <a:ext cx="720246" cy="6680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rajput" refreshedDate="46254.512865625002" createdVersion="8" refreshedVersion="8" minRefreshableVersion="3" recordCount="28" xr:uid="{5155B0A7-9AD9-4F7E-BA9F-F7C8B08A8E64}">
  <cacheSource type="worksheet">
    <worksheetSource ref="A1:K29" sheet="Sheet2"/>
  </cacheSource>
  <cacheFields count="11">
    <cacheField name="Order Date" numFmtId="14">
      <sharedItems containsSemiMixedTypes="0" containsNonDate="0" containsDate="1" containsString="0" minDate="2024-01-01T00:00:00" maxDate="2024-01-29T00:00:00" count="28">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sharedItems>
    </cacheField>
    <cacheField name="Year" numFmtId="0">
      <sharedItems containsSemiMixedTypes="0" containsString="0" containsNumber="1" containsInteger="1" minValue="2024" maxValue="2024"/>
    </cacheField>
    <cacheField name="Cust Id" numFmtId="0">
      <sharedItems count="28">
        <s v="NN001"/>
        <s v="NN002"/>
        <s v="NN003"/>
        <s v="NN004"/>
        <s v="NN005"/>
        <s v="NN006"/>
        <s v="NN007"/>
        <s v="NN008"/>
        <s v="NN009"/>
        <s v="NN010"/>
        <s v="NN011"/>
        <s v="NN012"/>
        <s v="NN013"/>
        <s v="NN014"/>
        <s v="NN015"/>
        <s v="NN016"/>
        <s v="NN017"/>
        <s v="NN018"/>
        <s v="NN019"/>
        <s v="NN020"/>
        <s v="NN021"/>
        <s v="NN022"/>
        <s v="NN023"/>
        <s v="NN024"/>
        <s v="NN025"/>
        <s v="NN026"/>
        <s v="NN027"/>
        <s v="NN028"/>
      </sharedItems>
    </cacheField>
    <cacheField name="Region" numFmtId="0">
      <sharedItems count="4">
        <s v="East"/>
        <s v="West"/>
        <s v="North "/>
        <s v="South"/>
      </sharedItems>
    </cacheField>
    <cacheField name="Cust. Name" numFmtId="0">
      <sharedItems count="28">
        <s v="Name1"/>
        <s v="Name2"/>
        <s v="Name3"/>
        <s v="Name4"/>
        <s v="Name5"/>
        <s v="Name6"/>
        <s v="Name7"/>
        <s v="Name8"/>
        <s v="Name9"/>
        <s v="Name10"/>
        <s v="Name11"/>
        <s v="Name12"/>
        <s v="Name13"/>
        <s v="Name14"/>
        <s v="Name15"/>
        <s v="Name16"/>
        <s v="Name17"/>
        <s v="Name18"/>
        <s v="Name19"/>
        <s v="Name20"/>
        <s v="Name21"/>
        <s v="Name22"/>
        <s v="Name23"/>
        <s v="Name24"/>
        <s v="Name25"/>
        <s v="Name26"/>
        <s v="Name27"/>
        <s v="Name28"/>
      </sharedItems>
    </cacheField>
    <cacheField name="Category" numFmtId="0">
      <sharedItems count="5">
        <s v="Computer"/>
        <s v="Electronic"/>
        <s v="Art"/>
        <s v="Storage"/>
        <s v="Mobile"/>
      </sharedItems>
    </cacheField>
    <cacheField name="Product" numFmtId="0">
      <sharedItems count="7">
        <s v="Mouse"/>
        <s v="Monitor"/>
        <s v="Printer"/>
        <s v="SSD256 GB"/>
        <s v="HDD256 GB"/>
        <s v="Scanner"/>
        <s v=" keyboard"/>
      </sharedItems>
    </cacheField>
    <cacheField name="Price" numFmtId="0">
      <sharedItems containsSemiMixedTypes="0" containsString="0" containsNumber="1" containsInteger="1" minValue="210" maxValue="4500"/>
    </cacheField>
    <cacheField name="Qty" numFmtId="0">
      <sharedItems containsSemiMixedTypes="0" containsString="0" containsNumber="1" containsInteger="1" minValue="2" maxValue="49"/>
    </cacheField>
    <cacheField name="Amount" numFmtId="0">
      <sharedItems containsSemiMixedTypes="0" containsString="0" containsNumber="1" containsInteger="1" minValue="600" maxValue="127400"/>
    </cacheField>
    <cacheField name="Profit10%" numFmtId="0">
      <sharedItems containsSemiMixedTypes="0" containsString="0" containsNumber="1" containsInteger="1" minValue="60" maxValue="12740"/>
    </cacheField>
  </cacheFields>
  <extLst>
    <ext xmlns:x14="http://schemas.microsoft.com/office/spreadsheetml/2009/9/main" uri="{725AE2AE-9491-48be-B2B4-4EB974FC3084}">
      <x14:pivotCacheDefinition pivotCacheId="835185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n v="2024"/>
    <x v="0"/>
    <x v="0"/>
    <x v="0"/>
    <x v="0"/>
    <x v="0"/>
    <n v="210"/>
    <n v="45"/>
    <n v="9450"/>
    <n v="945"/>
  </r>
  <r>
    <x v="1"/>
    <n v="2024"/>
    <x v="1"/>
    <x v="1"/>
    <x v="1"/>
    <x v="1"/>
    <x v="1"/>
    <n v="4000"/>
    <n v="8"/>
    <n v="32000"/>
    <n v="3200"/>
  </r>
  <r>
    <x v="2"/>
    <n v="2024"/>
    <x v="2"/>
    <x v="2"/>
    <x v="2"/>
    <x v="2"/>
    <x v="2"/>
    <n v="3200"/>
    <n v="6"/>
    <n v="19200"/>
    <n v="1920"/>
  </r>
  <r>
    <x v="3"/>
    <n v="2024"/>
    <x v="3"/>
    <x v="0"/>
    <x v="3"/>
    <x v="3"/>
    <x v="3"/>
    <n v="4000"/>
    <n v="4"/>
    <n v="16000"/>
    <n v="1600"/>
  </r>
  <r>
    <x v="4"/>
    <n v="2024"/>
    <x v="4"/>
    <x v="1"/>
    <x v="4"/>
    <x v="4"/>
    <x v="4"/>
    <n v="1500"/>
    <n v="7"/>
    <n v="10500"/>
    <n v="1050"/>
  </r>
  <r>
    <x v="5"/>
    <n v="2024"/>
    <x v="5"/>
    <x v="3"/>
    <x v="5"/>
    <x v="0"/>
    <x v="0"/>
    <n v="300"/>
    <n v="2"/>
    <n v="600"/>
    <n v="60"/>
  </r>
  <r>
    <x v="6"/>
    <n v="2024"/>
    <x v="6"/>
    <x v="2"/>
    <x v="6"/>
    <x v="0"/>
    <x v="2"/>
    <n v="4500"/>
    <n v="3"/>
    <n v="13500"/>
    <n v="1350"/>
  </r>
  <r>
    <x v="7"/>
    <n v="2024"/>
    <x v="7"/>
    <x v="1"/>
    <x v="7"/>
    <x v="2"/>
    <x v="5"/>
    <n v="2600"/>
    <n v="9"/>
    <n v="23400"/>
    <n v="2340"/>
  </r>
  <r>
    <x v="8"/>
    <n v="2024"/>
    <x v="8"/>
    <x v="0"/>
    <x v="8"/>
    <x v="0"/>
    <x v="6"/>
    <n v="600"/>
    <n v="8"/>
    <n v="4800"/>
    <n v="480"/>
  </r>
  <r>
    <x v="9"/>
    <n v="2024"/>
    <x v="9"/>
    <x v="0"/>
    <x v="9"/>
    <x v="4"/>
    <x v="3"/>
    <n v="4000"/>
    <n v="7"/>
    <n v="28000"/>
    <n v="2800"/>
  </r>
  <r>
    <x v="10"/>
    <n v="2024"/>
    <x v="10"/>
    <x v="0"/>
    <x v="10"/>
    <x v="2"/>
    <x v="2"/>
    <n v="4500"/>
    <n v="4"/>
    <n v="18000"/>
    <n v="1800"/>
  </r>
  <r>
    <x v="11"/>
    <n v="2024"/>
    <x v="11"/>
    <x v="1"/>
    <x v="11"/>
    <x v="3"/>
    <x v="4"/>
    <n v="1600"/>
    <n v="5"/>
    <n v="8000"/>
    <n v="800"/>
  </r>
  <r>
    <x v="12"/>
    <n v="2024"/>
    <x v="12"/>
    <x v="2"/>
    <x v="12"/>
    <x v="2"/>
    <x v="5"/>
    <n v="3000"/>
    <n v="6"/>
    <n v="18000"/>
    <n v="1800"/>
  </r>
  <r>
    <x v="13"/>
    <n v="2024"/>
    <x v="13"/>
    <x v="0"/>
    <x v="13"/>
    <x v="0"/>
    <x v="0"/>
    <n v="210"/>
    <n v="9"/>
    <n v="1890"/>
    <n v="189"/>
  </r>
  <r>
    <x v="14"/>
    <n v="2024"/>
    <x v="14"/>
    <x v="1"/>
    <x v="14"/>
    <x v="1"/>
    <x v="1"/>
    <n v="4000"/>
    <n v="8"/>
    <n v="32000"/>
    <n v="3200"/>
  </r>
  <r>
    <x v="15"/>
    <n v="2024"/>
    <x v="15"/>
    <x v="3"/>
    <x v="15"/>
    <x v="2"/>
    <x v="2"/>
    <n v="3200"/>
    <n v="7"/>
    <n v="22400"/>
    <n v="2240"/>
  </r>
  <r>
    <x v="16"/>
    <n v="2024"/>
    <x v="16"/>
    <x v="2"/>
    <x v="16"/>
    <x v="3"/>
    <x v="3"/>
    <n v="4000"/>
    <n v="15"/>
    <n v="60000"/>
    <n v="6000"/>
  </r>
  <r>
    <x v="17"/>
    <n v="2024"/>
    <x v="17"/>
    <x v="1"/>
    <x v="17"/>
    <x v="4"/>
    <x v="4"/>
    <n v="1500"/>
    <n v="4"/>
    <n v="6000"/>
    <n v="600"/>
  </r>
  <r>
    <x v="18"/>
    <n v="2024"/>
    <x v="18"/>
    <x v="0"/>
    <x v="18"/>
    <x v="0"/>
    <x v="0"/>
    <n v="300"/>
    <n v="12"/>
    <n v="3600"/>
    <n v="360"/>
  </r>
  <r>
    <x v="19"/>
    <n v="2024"/>
    <x v="19"/>
    <x v="0"/>
    <x v="19"/>
    <x v="0"/>
    <x v="2"/>
    <n v="4500"/>
    <n v="18"/>
    <n v="81000"/>
    <n v="8100"/>
  </r>
  <r>
    <x v="20"/>
    <n v="2024"/>
    <x v="20"/>
    <x v="0"/>
    <x v="20"/>
    <x v="2"/>
    <x v="5"/>
    <n v="2600"/>
    <n v="49"/>
    <n v="127400"/>
    <n v="12740"/>
  </r>
  <r>
    <x v="21"/>
    <n v="2024"/>
    <x v="21"/>
    <x v="1"/>
    <x v="21"/>
    <x v="0"/>
    <x v="6"/>
    <n v="600"/>
    <n v="6"/>
    <n v="3600"/>
    <n v="360"/>
  </r>
  <r>
    <x v="22"/>
    <n v="2024"/>
    <x v="22"/>
    <x v="2"/>
    <x v="22"/>
    <x v="4"/>
    <x v="3"/>
    <n v="4000"/>
    <n v="8"/>
    <n v="32000"/>
    <n v="3200"/>
  </r>
  <r>
    <x v="23"/>
    <n v="2024"/>
    <x v="23"/>
    <x v="0"/>
    <x v="23"/>
    <x v="2"/>
    <x v="2"/>
    <n v="3200"/>
    <n v="9"/>
    <n v="28800"/>
    <n v="2880"/>
  </r>
  <r>
    <x v="24"/>
    <n v="2024"/>
    <x v="24"/>
    <x v="1"/>
    <x v="24"/>
    <x v="3"/>
    <x v="4"/>
    <n v="2500"/>
    <n v="7"/>
    <n v="17500"/>
    <n v="1750"/>
  </r>
  <r>
    <x v="25"/>
    <n v="2024"/>
    <x v="25"/>
    <x v="3"/>
    <x v="25"/>
    <x v="2"/>
    <x v="5"/>
    <n v="3000"/>
    <n v="12"/>
    <n v="36000"/>
    <n v="3600"/>
  </r>
  <r>
    <x v="26"/>
    <n v="2024"/>
    <x v="26"/>
    <x v="2"/>
    <x v="26"/>
    <x v="1"/>
    <x v="1"/>
    <n v="4500"/>
    <n v="14"/>
    <n v="63000"/>
    <n v="6300"/>
  </r>
  <r>
    <x v="27"/>
    <n v="2024"/>
    <x v="27"/>
    <x v="1"/>
    <x v="27"/>
    <x v="2"/>
    <x v="2"/>
    <n v="3200"/>
    <n v="20"/>
    <n v="64000"/>
    <n v="6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370E5-AA7C-4DB2-81C8-E0AFD748AA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1">
    <pivotField numFmtId="14" showAll="0"/>
    <pivotField showAll="0"/>
    <pivotField showAll="0"/>
    <pivotField axis="axisRow" showAll="0">
      <items count="5">
        <item x="0"/>
        <item x="2"/>
        <item x="3"/>
        <item x="1"/>
        <item t="default"/>
      </items>
    </pivotField>
    <pivotField showAll="0"/>
    <pivotField showAll="0">
      <items count="6">
        <item x="2"/>
        <item x="0"/>
        <item x="1"/>
        <item x="4"/>
        <item x="3"/>
        <item t="default"/>
      </items>
    </pivotField>
    <pivotField showAll="0">
      <items count="8">
        <item x="6"/>
        <item x="4"/>
        <item x="1"/>
        <item x="0"/>
        <item x="2"/>
        <item x="5"/>
        <item x="3"/>
        <item t="default"/>
      </items>
    </pivotField>
    <pivotField showAll="0"/>
    <pivotField showAll="0"/>
    <pivotField dataField="1" showAll="0"/>
    <pivotField showAll="0"/>
  </pivotFields>
  <rowFields count="1">
    <field x="3"/>
  </rowFields>
  <rowItems count="5">
    <i>
      <x/>
    </i>
    <i>
      <x v="1"/>
    </i>
    <i>
      <x v="2"/>
    </i>
    <i>
      <x v="3"/>
    </i>
    <i t="grand">
      <x/>
    </i>
  </rowItems>
  <colItems count="1">
    <i/>
  </colItems>
  <dataFields count="1">
    <dataField name="Sum of Amount" fld="9"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32DD6C-5AE7-4034-88F0-5FB42F051F2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64:A65" firstHeaderRow="1" firstDataRow="1" firstDataCol="0"/>
  <pivotFields count="11">
    <pivotField numFmtId="14" showAll="0"/>
    <pivotField showAll="0"/>
    <pivotField showAll="0"/>
    <pivotField showAll="0">
      <items count="5">
        <item x="0"/>
        <item x="2"/>
        <item x="3"/>
        <item x="1"/>
        <item t="default"/>
      </items>
    </pivotField>
    <pivotField showAll="0"/>
    <pivotField showAll="0">
      <items count="6">
        <item x="2"/>
        <item x="0"/>
        <item x="1"/>
        <item x="4"/>
        <item x="3"/>
        <item t="default"/>
      </items>
    </pivotField>
    <pivotField showAll="0">
      <items count="8">
        <item x="6"/>
        <item x="4"/>
        <item x="1"/>
        <item x="0"/>
        <item x="2"/>
        <item x="5"/>
        <item x="3"/>
        <item t="default"/>
      </items>
    </pivotField>
    <pivotField showAll="0"/>
    <pivotField showAll="0"/>
    <pivotField showAll="0"/>
    <pivotField dataField="1" showAll="0"/>
  </pivotFields>
  <rowItems count="1">
    <i/>
  </rowItems>
  <colItems count="1">
    <i/>
  </colItems>
  <dataFields count="1">
    <dataField name="Sum of Profit1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CCD12-B2E6-43BF-9201-8A2E089CE71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A30:B35" firstHeaderRow="1" firstDataRow="1" firstDataCol="1"/>
  <pivotFields count="11">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showAll="0">
      <items count="5">
        <item x="0"/>
        <item x="2"/>
        <item x="3"/>
        <item x="1"/>
        <item t="default"/>
      </items>
    </pivotField>
    <pivotField showAll="0">
      <items count="29">
        <item x="0"/>
        <item x="9"/>
        <item x="10"/>
        <item x="11"/>
        <item x="12"/>
        <item x="13"/>
        <item x="14"/>
        <item x="15"/>
        <item x="16"/>
        <item x="17"/>
        <item x="18"/>
        <item x="1"/>
        <item x="19"/>
        <item x="20"/>
        <item x="21"/>
        <item x="22"/>
        <item x="23"/>
        <item x="24"/>
        <item x="25"/>
        <item x="26"/>
        <item x="27"/>
        <item x="2"/>
        <item x="3"/>
        <item x="4"/>
        <item x="5"/>
        <item x="6"/>
        <item x="7"/>
        <item x="8"/>
        <item t="default"/>
      </items>
    </pivotField>
    <pivotField showAll="0">
      <items count="6">
        <item x="2"/>
        <item x="0"/>
        <item x="1"/>
        <item x="4"/>
        <item x="3"/>
        <item t="default"/>
      </items>
    </pivotField>
    <pivotField showAll="0">
      <items count="8">
        <item x="6"/>
        <item x="4"/>
        <item x="1"/>
        <item x="0"/>
        <item x="2"/>
        <item x="5"/>
        <item x="3"/>
        <item t="default"/>
      </items>
    </pivotField>
    <pivotField showAll="0"/>
    <pivotField showAll="0"/>
    <pivotField showAll="0"/>
    <pivotField dataField="1" showAll="0"/>
  </pivotFields>
  <rowFields count="1">
    <field x="3"/>
  </rowFields>
  <rowItems count="5">
    <i>
      <x/>
    </i>
    <i>
      <x v="1"/>
    </i>
    <i>
      <x v="2"/>
    </i>
    <i>
      <x v="3"/>
    </i>
    <i t="grand">
      <x/>
    </i>
  </rowItems>
  <colItems count="1">
    <i/>
  </colItems>
  <dataFields count="1">
    <dataField name="Sum of Profit10%" fld="10" baseField="0" baseItem="0"/>
  </dataFields>
  <chartFormats count="6">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3" count="1" selected="0">
            <x v="3"/>
          </reference>
        </references>
      </pivotArea>
    </chartFormat>
    <chartFormat chart="25" format="4">
      <pivotArea type="data" outline="0" fieldPosition="0">
        <references count="2">
          <reference field="4294967294" count="1" selected="0">
            <x v="0"/>
          </reference>
          <reference field="3" count="1" selected="0">
            <x v="0"/>
          </reference>
        </references>
      </pivotArea>
    </chartFormat>
    <chartFormat chart="25" format="5">
      <pivotArea type="data" outline="0" fieldPosition="0">
        <references count="2">
          <reference field="4294967294" count="1" selected="0">
            <x v="0"/>
          </reference>
          <reference field="3" count="1" selected="0">
            <x v="1"/>
          </reference>
        </references>
      </pivotArea>
    </chartFormat>
    <chartFormat chart="25"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D13A2B-0456-4DD4-843A-9B221950D33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68:A69" firstHeaderRow="1" firstDataRow="1" firstDataCol="0"/>
  <pivotFields count="11">
    <pivotField numFmtId="14" showAll="0"/>
    <pivotField showAll="0"/>
    <pivotField showAll="0"/>
    <pivotField showAll="0">
      <items count="5">
        <item x="0"/>
        <item x="2"/>
        <item x="3"/>
        <item x="1"/>
        <item t="default"/>
      </items>
    </pivotField>
    <pivotField showAll="0"/>
    <pivotField showAll="0">
      <items count="6">
        <item x="2"/>
        <item x="0"/>
        <item x="1"/>
        <item x="4"/>
        <item x="3"/>
        <item t="default"/>
      </items>
    </pivotField>
    <pivotField showAll="0">
      <items count="8">
        <item x="6"/>
        <item x="4"/>
        <item x="1"/>
        <item x="0"/>
        <item x="2"/>
        <item x="5"/>
        <item x="3"/>
        <item t="default"/>
      </items>
    </pivotField>
    <pivotField dataField="1" showAll="0"/>
    <pivotField showAll="0"/>
    <pivotField showAll="0"/>
    <pivotField showAll="0"/>
  </pivotFields>
  <rowItems count="1">
    <i/>
  </rowItems>
  <colItems count="1">
    <i/>
  </colItems>
  <dataFields count="1">
    <dataField name="Sum of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5F4E6A-CAFC-43D2-B944-330F1DC8695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location ref="A17:B25" firstHeaderRow="1" firstDataRow="1" firstDataCol="1"/>
  <pivotFields count="11">
    <pivotField numFmtId="14" showAll="0"/>
    <pivotField showAll="0"/>
    <pivotField showAll="0"/>
    <pivotField showAll="0">
      <items count="5">
        <item x="0"/>
        <item x="2"/>
        <item x="3"/>
        <item x="1"/>
        <item t="default"/>
      </items>
    </pivotField>
    <pivotField showAll="0"/>
    <pivotField showAll="0">
      <items count="6">
        <item x="2"/>
        <item x="0"/>
        <item x="1"/>
        <item x="4"/>
        <item x="3"/>
        <item t="default"/>
      </items>
    </pivotField>
    <pivotField axis="axisRow" showAll="0">
      <items count="8">
        <item x="6"/>
        <item x="4"/>
        <item x="1"/>
        <item x="0"/>
        <item x="2"/>
        <item x="5"/>
        <item x="3"/>
        <item t="default"/>
      </items>
    </pivotField>
    <pivotField showAll="0"/>
    <pivotField dataField="1" showAll="0"/>
    <pivotField showAll="0"/>
    <pivotField showAll="0"/>
  </pivotFields>
  <rowFields count="1">
    <field x="6"/>
  </rowFields>
  <rowItems count="8">
    <i>
      <x/>
    </i>
    <i>
      <x v="1"/>
    </i>
    <i>
      <x v="2"/>
    </i>
    <i>
      <x v="3"/>
    </i>
    <i>
      <x v="4"/>
    </i>
    <i>
      <x v="5"/>
    </i>
    <i>
      <x v="6"/>
    </i>
    <i t="grand">
      <x/>
    </i>
  </rowItems>
  <colItems count="1">
    <i/>
  </colItems>
  <dataFields count="1">
    <dataField name="Sum of Qty" fld="8" baseField="0"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657911-A271-4D8C-8123-43E2258DC1C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6">
  <location ref="A42:B48" firstHeaderRow="1" firstDataRow="1" firstDataCol="1"/>
  <pivotFields count="11">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5">
        <item x="0"/>
        <item x="2"/>
        <item x="3"/>
        <item x="1"/>
        <item t="default"/>
      </items>
    </pivotField>
    <pivotField showAll="0">
      <items count="29">
        <item x="0"/>
        <item x="9"/>
        <item x="10"/>
        <item x="11"/>
        <item x="12"/>
        <item x="13"/>
        <item x="14"/>
        <item x="15"/>
        <item x="16"/>
        <item x="17"/>
        <item x="18"/>
        <item x="1"/>
        <item x="19"/>
        <item x="20"/>
        <item x="21"/>
        <item x="22"/>
        <item x="23"/>
        <item x="24"/>
        <item x="25"/>
        <item x="26"/>
        <item x="27"/>
        <item x="2"/>
        <item x="3"/>
        <item x="4"/>
        <item x="5"/>
        <item x="6"/>
        <item x="7"/>
        <item x="8"/>
        <item t="default"/>
      </items>
    </pivotField>
    <pivotField axis="axisRow" showAll="0">
      <items count="6">
        <item x="2"/>
        <item x="0"/>
        <item x="1"/>
        <item x="4"/>
        <item x="3"/>
        <item t="default"/>
      </items>
    </pivotField>
    <pivotField showAll="0">
      <items count="8">
        <item x="6"/>
        <item x="4"/>
        <item x="1"/>
        <item x="0"/>
        <item x="2"/>
        <item x="5"/>
        <item x="3"/>
        <item t="default"/>
      </items>
    </pivotField>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um of Profit10%" fld="10" baseField="0" baseItem="0"/>
  </dataFields>
  <chartFormats count="2">
    <chartFormat chart="26" format="1"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EF0FAC-5B2A-4E84-A6EF-A2801B956AAC}"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56:A57" firstHeaderRow="1" firstDataRow="1" firstDataCol="0"/>
  <pivotFields count="11">
    <pivotField numFmtId="14" showAll="0"/>
    <pivotField showAll="0"/>
    <pivotField showAll="0"/>
    <pivotField showAll="0">
      <items count="5">
        <item x="0"/>
        <item x="2"/>
        <item x="3"/>
        <item x="1"/>
        <item t="default"/>
      </items>
    </pivotField>
    <pivotField showAll="0"/>
    <pivotField showAll="0">
      <items count="6">
        <item x="2"/>
        <item x="0"/>
        <item x="1"/>
        <item x="4"/>
        <item x="3"/>
        <item t="default"/>
      </items>
    </pivotField>
    <pivotField showAll="0">
      <items count="8">
        <item x="6"/>
        <item x="4"/>
        <item x="1"/>
        <item x="0"/>
        <item x="2"/>
        <item x="5"/>
        <item x="3"/>
        <item t="default"/>
      </items>
    </pivotField>
    <pivotField showAll="0"/>
    <pivotField dataField="1" showAll="0"/>
    <pivotField showAll="0"/>
    <pivotField showAll="0"/>
  </pivotFields>
  <rowItems count="1">
    <i/>
  </rowItems>
  <colItems count="1">
    <i/>
  </colItems>
  <dataFields count="1">
    <dataField name="Sum of Q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0F8C56-AEDA-48D8-B1EA-2CA3B390D6AF}"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60:A61" firstHeaderRow="1" firstDataRow="1" firstDataCol="0"/>
  <pivotFields count="11">
    <pivotField numFmtId="14" showAll="0"/>
    <pivotField showAll="0"/>
    <pivotField showAll="0"/>
    <pivotField showAll="0">
      <items count="5">
        <item x="0"/>
        <item x="2"/>
        <item x="3"/>
        <item x="1"/>
        <item t="default"/>
      </items>
    </pivotField>
    <pivotField showAll="0"/>
    <pivotField showAll="0">
      <items count="6">
        <item x="2"/>
        <item x="0"/>
        <item x="1"/>
        <item x="4"/>
        <item x="3"/>
        <item t="default"/>
      </items>
    </pivotField>
    <pivotField showAll="0">
      <items count="8">
        <item x="6"/>
        <item x="4"/>
        <item x="1"/>
        <item x="0"/>
        <item x="2"/>
        <item x="5"/>
        <item x="3"/>
        <item t="default"/>
      </items>
    </pivotField>
    <pivotField showAll="0"/>
    <pivotField showAll="0"/>
    <pivotField dataField="1" showAll="0"/>
    <pivotField showAll="0"/>
  </pivotFields>
  <rowItems count="1">
    <i/>
  </rowItems>
  <colItems count="1">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89F2ED-88BB-4199-B709-B7E1F86B4BBC}" sourceName="Region">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8"/>
  </pivotTables>
  <data>
    <tabular pivotCacheId="83518505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F5356E-21F9-4FA1-A978-EEBF1AFD5DC0}" sourceName="Category">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8"/>
  </pivotTables>
  <data>
    <tabular pivotCacheId="835185059">
      <items count="5">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69BB258-1DB7-46D6-A411-2E4FAAC5073A}" sourceName="Product">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8"/>
  </pivotTables>
  <data>
    <tabular pivotCacheId="835185059">
      <items count="7">
        <i x="6" s="1"/>
        <i x="4" s="1"/>
        <i x="1" s="1"/>
        <i x="0" s="1"/>
        <i x="2"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B852A4-68D5-49E8-838B-52C42E901A38}" cache="Slicer_Region" caption="Region" columnCount="2" style="SlicerStyleLight6" rowHeight="234950"/>
  <slicer name="Category" xr10:uid="{1B87AF87-A0B1-415A-9770-5EC605C0438B}" cache="Slicer_Category" caption="Category" columnCount="2" style="SlicerStyleLight6" rowHeight="234950"/>
  <slicer name="Product" xr10:uid="{DD505ED3-F261-4558-9EC7-F863FDD72736}" cache="Slicer_Product" caption="Product" columnCount="2" style="SlicerStyleLight6" rowHeight="234950"/>
</slicers>
</file>

<file path=xl/theme/theme1.xml><?xml version="1.0" encoding="utf-8"?>
<a:theme xmlns:a="http://schemas.openxmlformats.org/drawingml/2006/main" name="Office 2013 - 2022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6038-DA93-4B33-AF03-10739E5A4C59}">
  <dimension ref="A1:AA29"/>
  <sheetViews>
    <sheetView zoomScale="76" zoomScaleNormal="100" workbookViewId="0">
      <selection activeCell="G36" sqref="G36"/>
    </sheetView>
  </sheetViews>
  <sheetFormatPr defaultRowHeight="14.4" x14ac:dyDescent="0.3"/>
  <cols>
    <col min="1" max="1" width="10.33203125" bestFit="1" customWidth="1"/>
    <col min="2" max="2" width="5" bestFit="1" customWidth="1"/>
    <col min="3" max="4" width="6.77734375" bestFit="1" customWidth="1"/>
    <col min="5" max="5" width="10.6640625" bestFit="1" customWidth="1"/>
    <col min="6" max="6" width="9.109375" bestFit="1" customWidth="1"/>
    <col min="7" max="7" width="10.44140625" bestFit="1" customWidth="1"/>
    <col min="8" max="8" width="5.109375" bestFit="1" customWidth="1"/>
    <col min="9" max="9" width="4" bestFit="1" customWidth="1"/>
    <col min="10" max="10" width="7.88671875" bestFit="1" customWidth="1"/>
    <col min="11" max="11" width="9.109375" bestFit="1" customWidth="1"/>
    <col min="12" max="12" width="17.77734375" customWidth="1"/>
    <col min="13" max="13" width="27.33203125" customWidth="1"/>
    <col min="14" max="14" width="18.44140625" customWidth="1"/>
    <col min="15" max="15" width="25.44140625" customWidth="1"/>
    <col min="16" max="16" width="16.21875" customWidth="1"/>
    <col min="17" max="17" width="21.21875" customWidth="1"/>
    <col min="18" max="18" width="9.33203125" customWidth="1"/>
  </cols>
  <sheetData>
    <row r="1" spans="1:27" x14ac:dyDescent="0.3">
      <c r="A1" s="1" t="s">
        <v>0</v>
      </c>
      <c r="B1" s="1" t="s">
        <v>1</v>
      </c>
      <c r="C1" s="1" t="s">
        <v>2</v>
      </c>
      <c r="D1" s="1" t="s">
        <v>3</v>
      </c>
      <c r="E1" s="1" t="s">
        <v>4</v>
      </c>
      <c r="F1" s="1" t="s">
        <v>5</v>
      </c>
      <c r="G1" s="1" t="s">
        <v>6</v>
      </c>
      <c r="H1" s="1" t="s">
        <v>7</v>
      </c>
      <c r="I1" s="1" t="s">
        <v>8</v>
      </c>
      <c r="J1" s="1" t="s">
        <v>9</v>
      </c>
      <c r="K1" s="1" t="s">
        <v>10</v>
      </c>
      <c r="L1" s="4" t="s">
        <v>85</v>
      </c>
      <c r="M1" s="4" t="s">
        <v>86</v>
      </c>
      <c r="N1" s="4" t="s">
        <v>92</v>
      </c>
      <c r="O1" s="4" t="s">
        <v>93</v>
      </c>
      <c r="T1" s="5" t="s">
        <v>83</v>
      </c>
      <c r="U1" s="5">
        <f>SUM(J2:J29)</f>
        <v>780640</v>
      </c>
    </row>
    <row r="2" spans="1:27" x14ac:dyDescent="0.3">
      <c r="A2" s="2">
        <v>45292</v>
      </c>
      <c r="B2" s="3">
        <v>2024</v>
      </c>
      <c r="C2" s="3" t="s">
        <v>11</v>
      </c>
      <c r="D2" s="3" t="s">
        <v>12</v>
      </c>
      <c r="E2" s="3" t="s">
        <v>13</v>
      </c>
      <c r="F2" s="3" t="s">
        <v>14</v>
      </c>
      <c r="G2" s="3" t="s">
        <v>15</v>
      </c>
      <c r="H2" s="3">
        <v>210</v>
      </c>
      <c r="I2" s="3">
        <v>45</v>
      </c>
      <c r="J2" s="3">
        <f>H2*I2</f>
        <v>9450</v>
      </c>
      <c r="K2" s="3">
        <f>J2*10/100</f>
        <v>945</v>
      </c>
      <c r="L2" t="str">
        <f t="shared" ref="L2:L29" si="0">IF(AND(D2="East",I2&gt;10),"yes","no")</f>
        <v>yes</v>
      </c>
      <c r="M2" t="str">
        <f>IF(AND(D2="south",G2="Printer",I2&gt;5),"YES","NO")</f>
        <v>NO</v>
      </c>
      <c r="N2" t="str">
        <f>IF(I3&gt;=10,"yes","no")</f>
        <v>no</v>
      </c>
      <c r="O2" t="str">
        <f>IF(AND(D2="West",F2="Art",G2="Scanner",H2&gt;2000),"TRUE","FALSE")</f>
        <v>FALSE</v>
      </c>
      <c r="T2" s="5" t="s">
        <v>87</v>
      </c>
      <c r="U2" s="5">
        <f>MIN(H2:H29)</f>
        <v>210</v>
      </c>
    </row>
    <row r="3" spans="1:27" x14ac:dyDescent="0.3">
      <c r="A3" s="2">
        <v>45293</v>
      </c>
      <c r="B3" s="3">
        <v>2024</v>
      </c>
      <c r="C3" s="3" t="s">
        <v>16</v>
      </c>
      <c r="D3" s="3" t="s">
        <v>17</v>
      </c>
      <c r="E3" s="3" t="s">
        <v>18</v>
      </c>
      <c r="F3" s="3" t="s">
        <v>19</v>
      </c>
      <c r="G3" s="3" t="s">
        <v>20</v>
      </c>
      <c r="H3" s="3">
        <v>4000</v>
      </c>
      <c r="I3" s="3">
        <v>8</v>
      </c>
      <c r="J3" s="3">
        <f t="shared" ref="J3:J29" si="1">H3*I3</f>
        <v>32000</v>
      </c>
      <c r="K3" s="3">
        <f t="shared" ref="K3:K29" si="2">J3*10/100</f>
        <v>3200</v>
      </c>
      <c r="L3" t="str">
        <f t="shared" si="0"/>
        <v>no</v>
      </c>
      <c r="M3" t="str">
        <f t="shared" ref="M3:M29" si="3">IF(AND(D3="south",G3="Printer",I3&gt;5),"YES","NO")</f>
        <v>NO</v>
      </c>
      <c r="N3" t="str">
        <f t="shared" ref="N3:N29" si="4">IF(I4&gt;=10,"yes","no")</f>
        <v>no</v>
      </c>
      <c r="O3" t="str">
        <f t="shared" ref="O3:O29" si="5">IF(AND(D3="West",F3="Art",G3="Scanner",H3&gt;2000),"TRUE","FALSE")</f>
        <v>FALSE</v>
      </c>
      <c r="T3" s="5" t="s">
        <v>88</v>
      </c>
      <c r="U3" s="5">
        <f>MAX(I2:I29)</f>
        <v>49</v>
      </c>
    </row>
    <row r="4" spans="1:27" x14ac:dyDescent="0.3">
      <c r="A4" s="2">
        <v>45294</v>
      </c>
      <c r="B4" s="3">
        <v>2024</v>
      </c>
      <c r="C4" s="3" t="s">
        <v>21</v>
      </c>
      <c r="D4" s="3" t="s">
        <v>22</v>
      </c>
      <c r="E4" s="3" t="s">
        <v>23</v>
      </c>
      <c r="F4" s="3" t="s">
        <v>24</v>
      </c>
      <c r="G4" s="3" t="s">
        <v>25</v>
      </c>
      <c r="H4" s="3">
        <v>3200</v>
      </c>
      <c r="I4" s="3">
        <v>6</v>
      </c>
      <c r="J4" s="3">
        <f t="shared" si="1"/>
        <v>19200</v>
      </c>
      <c r="K4" s="3">
        <f t="shared" si="2"/>
        <v>1920</v>
      </c>
      <c r="L4" t="str">
        <f t="shared" si="0"/>
        <v>no</v>
      </c>
      <c r="M4" t="str">
        <f t="shared" si="3"/>
        <v>NO</v>
      </c>
      <c r="N4" t="str">
        <f t="shared" si="4"/>
        <v>no</v>
      </c>
      <c r="O4" t="str">
        <f t="shared" si="5"/>
        <v>FALSE</v>
      </c>
      <c r="T4" s="5" t="s">
        <v>84</v>
      </c>
      <c r="U4" s="5">
        <f>AVERAGE(K2:K29)</f>
        <v>2788</v>
      </c>
    </row>
    <row r="5" spans="1:27" x14ac:dyDescent="0.3">
      <c r="A5" s="2">
        <v>45295</v>
      </c>
      <c r="B5" s="3">
        <v>2024</v>
      </c>
      <c r="C5" s="3" t="s">
        <v>26</v>
      </c>
      <c r="D5" s="3" t="s">
        <v>12</v>
      </c>
      <c r="E5" s="3" t="s">
        <v>27</v>
      </c>
      <c r="F5" s="3" t="s">
        <v>28</v>
      </c>
      <c r="G5" s="3" t="s">
        <v>29</v>
      </c>
      <c r="H5" s="3">
        <v>4000</v>
      </c>
      <c r="I5" s="3">
        <v>4</v>
      </c>
      <c r="J5" s="3">
        <f t="shared" si="1"/>
        <v>16000</v>
      </c>
      <c r="K5" s="3">
        <f t="shared" si="2"/>
        <v>1600</v>
      </c>
      <c r="L5" t="str">
        <f t="shared" si="0"/>
        <v>no</v>
      </c>
      <c r="M5" t="str">
        <f t="shared" si="3"/>
        <v>NO</v>
      </c>
      <c r="N5" t="str">
        <f t="shared" si="4"/>
        <v>no</v>
      </c>
      <c r="O5" t="str">
        <f t="shared" si="5"/>
        <v>FALSE</v>
      </c>
      <c r="T5" s="5" t="s">
        <v>89</v>
      </c>
      <c r="U5" s="5">
        <f>MAX(J2:J29)</f>
        <v>127400</v>
      </c>
    </row>
    <row r="6" spans="1:27" x14ac:dyDescent="0.3">
      <c r="A6" s="2">
        <v>45296</v>
      </c>
      <c r="B6" s="3">
        <v>2024</v>
      </c>
      <c r="C6" s="3" t="s">
        <v>30</v>
      </c>
      <c r="D6" s="3" t="s">
        <v>17</v>
      </c>
      <c r="E6" s="3" t="s">
        <v>31</v>
      </c>
      <c r="F6" s="3" t="s">
        <v>32</v>
      </c>
      <c r="G6" s="3" t="s">
        <v>33</v>
      </c>
      <c r="H6" s="3">
        <v>1500</v>
      </c>
      <c r="I6" s="3">
        <v>7</v>
      </c>
      <c r="J6" s="3">
        <f t="shared" si="1"/>
        <v>10500</v>
      </c>
      <c r="K6" s="3">
        <f t="shared" si="2"/>
        <v>1050</v>
      </c>
      <c r="L6" t="str">
        <f t="shared" si="0"/>
        <v>no</v>
      </c>
      <c r="M6" t="str">
        <f t="shared" si="3"/>
        <v>NO</v>
      </c>
      <c r="N6" t="str">
        <f t="shared" si="4"/>
        <v>no</v>
      </c>
      <c r="O6" t="str">
        <f t="shared" si="5"/>
        <v>FALSE</v>
      </c>
      <c r="T6" s="5" t="s">
        <v>90</v>
      </c>
      <c r="U6" s="5">
        <f>SUM(H2:H29)</f>
        <v>75320</v>
      </c>
    </row>
    <row r="7" spans="1:27" x14ac:dyDescent="0.3">
      <c r="A7" s="2">
        <v>45297</v>
      </c>
      <c r="B7" s="3">
        <v>2024</v>
      </c>
      <c r="C7" s="3" t="s">
        <v>34</v>
      </c>
      <c r="D7" s="3" t="s">
        <v>35</v>
      </c>
      <c r="E7" s="3" t="s">
        <v>36</v>
      </c>
      <c r="F7" s="3" t="s">
        <v>14</v>
      </c>
      <c r="G7" s="3" t="s">
        <v>15</v>
      </c>
      <c r="H7" s="3">
        <v>300</v>
      </c>
      <c r="I7" s="3">
        <v>2</v>
      </c>
      <c r="J7" s="3">
        <f t="shared" si="1"/>
        <v>600</v>
      </c>
      <c r="K7" s="3">
        <f t="shared" si="2"/>
        <v>60</v>
      </c>
      <c r="L7" t="str">
        <f t="shared" si="0"/>
        <v>no</v>
      </c>
      <c r="M7" t="str">
        <f t="shared" si="3"/>
        <v>NO</v>
      </c>
      <c r="N7" t="str">
        <f t="shared" si="4"/>
        <v>no</v>
      </c>
      <c r="O7" t="str">
        <f t="shared" si="5"/>
        <v>FALSE</v>
      </c>
      <c r="T7" s="5" t="s">
        <v>91</v>
      </c>
      <c r="U7" s="5">
        <f>MIN(I2:I29)</f>
        <v>2</v>
      </c>
    </row>
    <row r="8" spans="1:27" x14ac:dyDescent="0.3">
      <c r="A8" s="2">
        <v>45298</v>
      </c>
      <c r="B8" s="3">
        <v>2024</v>
      </c>
      <c r="C8" s="3" t="s">
        <v>37</v>
      </c>
      <c r="D8" s="3" t="s">
        <v>22</v>
      </c>
      <c r="E8" s="3" t="s">
        <v>38</v>
      </c>
      <c r="F8" s="3" t="s">
        <v>14</v>
      </c>
      <c r="G8" s="3" t="s">
        <v>25</v>
      </c>
      <c r="H8" s="3">
        <v>4500</v>
      </c>
      <c r="I8" s="3">
        <v>3</v>
      </c>
      <c r="J8" s="3">
        <f t="shared" si="1"/>
        <v>13500</v>
      </c>
      <c r="K8" s="3">
        <f t="shared" si="2"/>
        <v>1350</v>
      </c>
      <c r="L8" t="str">
        <f t="shared" si="0"/>
        <v>no</v>
      </c>
      <c r="M8" t="str">
        <f t="shared" si="3"/>
        <v>NO</v>
      </c>
      <c r="N8" t="str">
        <f t="shared" si="4"/>
        <v>no</v>
      </c>
      <c r="O8" t="str">
        <f t="shared" si="5"/>
        <v>FALSE</v>
      </c>
    </row>
    <row r="9" spans="1:27" x14ac:dyDescent="0.3">
      <c r="A9" s="2">
        <v>45299</v>
      </c>
      <c r="B9" s="3">
        <v>2024</v>
      </c>
      <c r="C9" s="3" t="s">
        <v>39</v>
      </c>
      <c r="D9" s="3" t="s">
        <v>17</v>
      </c>
      <c r="E9" s="3" t="s">
        <v>40</v>
      </c>
      <c r="F9" s="3" t="s">
        <v>24</v>
      </c>
      <c r="G9" s="3" t="s">
        <v>41</v>
      </c>
      <c r="H9" s="3">
        <v>2600</v>
      </c>
      <c r="I9" s="3">
        <v>9</v>
      </c>
      <c r="J9" s="3">
        <f t="shared" si="1"/>
        <v>23400</v>
      </c>
      <c r="K9" s="3">
        <f t="shared" si="2"/>
        <v>2340</v>
      </c>
      <c r="L9" t="str">
        <f t="shared" si="0"/>
        <v>no</v>
      </c>
      <c r="M9" t="str">
        <f t="shared" si="3"/>
        <v>NO</v>
      </c>
      <c r="N9" t="str">
        <f t="shared" si="4"/>
        <v>no</v>
      </c>
      <c r="O9" t="str">
        <f t="shared" si="5"/>
        <v>TRUE</v>
      </c>
    </row>
    <row r="10" spans="1:27" x14ac:dyDescent="0.3">
      <c r="A10" s="2">
        <v>45300</v>
      </c>
      <c r="B10" s="3">
        <v>2024</v>
      </c>
      <c r="C10" s="3" t="s">
        <v>42</v>
      </c>
      <c r="D10" s="3" t="s">
        <v>12</v>
      </c>
      <c r="E10" s="3" t="s">
        <v>43</v>
      </c>
      <c r="F10" s="3" t="s">
        <v>14</v>
      </c>
      <c r="G10" s="3" t="s">
        <v>44</v>
      </c>
      <c r="H10" s="3">
        <v>600</v>
      </c>
      <c r="I10" s="3">
        <v>8</v>
      </c>
      <c r="J10" s="3">
        <f t="shared" si="1"/>
        <v>4800</v>
      </c>
      <c r="K10" s="3">
        <f t="shared" si="2"/>
        <v>480</v>
      </c>
      <c r="L10" t="str">
        <f t="shared" si="0"/>
        <v>no</v>
      </c>
      <c r="M10" t="str">
        <f t="shared" si="3"/>
        <v>NO</v>
      </c>
      <c r="N10" t="str">
        <f t="shared" si="4"/>
        <v>no</v>
      </c>
      <c r="O10" t="str">
        <f t="shared" si="5"/>
        <v>FALSE</v>
      </c>
      <c r="P10" t="s">
        <v>94</v>
      </c>
      <c r="Q10" t="s">
        <v>96</v>
      </c>
      <c r="R10" t="s">
        <v>97</v>
      </c>
      <c r="S10">
        <f>SUMIFS(I2:I29,D2:D29,P10,F2:F29,Q10,G2:G29,R10)</f>
        <v>66</v>
      </c>
    </row>
    <row r="11" spans="1:27" x14ac:dyDescent="0.3">
      <c r="A11" s="2">
        <v>45301</v>
      </c>
      <c r="B11" s="3">
        <v>2024</v>
      </c>
      <c r="C11" s="3" t="s">
        <v>45</v>
      </c>
      <c r="D11" s="3" t="s">
        <v>12</v>
      </c>
      <c r="E11" s="3" t="s">
        <v>46</v>
      </c>
      <c r="F11" s="3" t="s">
        <v>32</v>
      </c>
      <c r="G11" s="3" t="s">
        <v>29</v>
      </c>
      <c r="H11" s="3">
        <v>4000</v>
      </c>
      <c r="I11" s="3">
        <v>7</v>
      </c>
      <c r="J11" s="3">
        <f t="shared" si="1"/>
        <v>28000</v>
      </c>
      <c r="K11" s="3">
        <f t="shared" si="2"/>
        <v>2800</v>
      </c>
      <c r="L11" t="str">
        <f t="shared" si="0"/>
        <v>no</v>
      </c>
      <c r="M11" t="str">
        <f t="shared" si="3"/>
        <v>NO</v>
      </c>
      <c r="N11" t="str">
        <f t="shared" si="4"/>
        <v>no</v>
      </c>
      <c r="O11" t="str">
        <f t="shared" si="5"/>
        <v>FALSE</v>
      </c>
    </row>
    <row r="12" spans="1:27" x14ac:dyDescent="0.3">
      <c r="A12" s="2">
        <v>45302</v>
      </c>
      <c r="B12" s="3">
        <v>2024</v>
      </c>
      <c r="C12" s="3" t="s">
        <v>47</v>
      </c>
      <c r="D12" s="3" t="s">
        <v>12</v>
      </c>
      <c r="E12" s="3" t="s">
        <v>48</v>
      </c>
      <c r="F12" s="3" t="s">
        <v>24</v>
      </c>
      <c r="G12" s="3" t="s">
        <v>25</v>
      </c>
      <c r="H12" s="3">
        <v>4500</v>
      </c>
      <c r="I12" s="3">
        <v>4</v>
      </c>
      <c r="J12" s="3">
        <f t="shared" si="1"/>
        <v>18000</v>
      </c>
      <c r="K12" s="3">
        <f t="shared" si="2"/>
        <v>1800</v>
      </c>
      <c r="L12" t="str">
        <f t="shared" si="0"/>
        <v>no</v>
      </c>
      <c r="M12" t="str">
        <f t="shared" si="3"/>
        <v>NO</v>
      </c>
      <c r="N12" t="str">
        <f t="shared" si="4"/>
        <v>no</v>
      </c>
      <c r="O12" t="str">
        <f t="shared" si="5"/>
        <v>FALSE</v>
      </c>
      <c r="P12" t="s">
        <v>95</v>
      </c>
    </row>
    <row r="13" spans="1:27" x14ac:dyDescent="0.3">
      <c r="A13" s="2">
        <v>45303</v>
      </c>
      <c r="B13" s="3">
        <v>2024</v>
      </c>
      <c r="C13" s="3" t="s">
        <v>49</v>
      </c>
      <c r="D13" s="3" t="s">
        <v>17</v>
      </c>
      <c r="E13" s="3" t="s">
        <v>50</v>
      </c>
      <c r="F13" s="3" t="s">
        <v>28</v>
      </c>
      <c r="G13" s="3" t="s">
        <v>33</v>
      </c>
      <c r="H13" s="3">
        <v>1600</v>
      </c>
      <c r="I13" s="3">
        <v>5</v>
      </c>
      <c r="J13" s="3">
        <f t="shared" si="1"/>
        <v>8000</v>
      </c>
      <c r="K13" s="3">
        <f t="shared" si="2"/>
        <v>800</v>
      </c>
      <c r="L13" t="str">
        <f t="shared" si="0"/>
        <v>no</v>
      </c>
      <c r="M13" t="str">
        <f t="shared" si="3"/>
        <v>NO</v>
      </c>
      <c r="N13" t="str">
        <f t="shared" si="4"/>
        <v>no</v>
      </c>
      <c r="O13" t="str">
        <f t="shared" si="5"/>
        <v>FALSE</v>
      </c>
    </row>
    <row r="14" spans="1:27" x14ac:dyDescent="0.3">
      <c r="A14" s="2">
        <v>45304</v>
      </c>
      <c r="B14" s="3">
        <v>2024</v>
      </c>
      <c r="C14" s="3" t="s">
        <v>51</v>
      </c>
      <c r="D14" s="3" t="s">
        <v>22</v>
      </c>
      <c r="E14" s="3" t="s">
        <v>52</v>
      </c>
      <c r="F14" s="3" t="s">
        <v>24</v>
      </c>
      <c r="G14" s="3" t="s">
        <v>41</v>
      </c>
      <c r="H14" s="3">
        <v>3000</v>
      </c>
      <c r="I14" s="3">
        <v>6</v>
      </c>
      <c r="J14" s="3">
        <f t="shared" si="1"/>
        <v>18000</v>
      </c>
      <c r="K14" s="3">
        <f t="shared" si="2"/>
        <v>1800</v>
      </c>
      <c r="L14" t="str">
        <f t="shared" si="0"/>
        <v>no</v>
      </c>
      <c r="M14" t="str">
        <f t="shared" si="3"/>
        <v>NO</v>
      </c>
      <c r="N14" t="str">
        <f t="shared" si="4"/>
        <v>no</v>
      </c>
      <c r="O14" t="str">
        <f t="shared" si="5"/>
        <v>FALSE</v>
      </c>
    </row>
    <row r="15" spans="1:27" x14ac:dyDescent="0.3">
      <c r="A15" s="2">
        <v>45305</v>
      </c>
      <c r="B15" s="3">
        <v>2024</v>
      </c>
      <c r="C15" s="3" t="s">
        <v>53</v>
      </c>
      <c r="D15" s="3" t="s">
        <v>12</v>
      </c>
      <c r="E15" s="3" t="s">
        <v>54</v>
      </c>
      <c r="F15" s="3" t="s">
        <v>14</v>
      </c>
      <c r="G15" s="3" t="s">
        <v>15</v>
      </c>
      <c r="H15" s="3">
        <v>210</v>
      </c>
      <c r="I15" s="3">
        <v>9</v>
      </c>
      <c r="J15" s="3">
        <f t="shared" si="1"/>
        <v>1890</v>
      </c>
      <c r="K15" s="3">
        <f t="shared" si="2"/>
        <v>189</v>
      </c>
      <c r="L15" t="str">
        <f t="shared" si="0"/>
        <v>no</v>
      </c>
      <c r="M15" t="str">
        <f t="shared" si="3"/>
        <v>NO</v>
      </c>
      <c r="N15" t="str">
        <f t="shared" si="4"/>
        <v>no</v>
      </c>
      <c r="O15" t="str">
        <f t="shared" si="5"/>
        <v>FALSE</v>
      </c>
      <c r="P15" s="6" t="s">
        <v>56</v>
      </c>
      <c r="Q15" s="6" t="s">
        <v>98</v>
      </c>
      <c r="R15" s="6" t="str">
        <f>VLOOKUP(P15,E1:O29,3,0)</f>
        <v>Monitor</v>
      </c>
      <c r="S15" s="6"/>
      <c r="T15" s="6"/>
      <c r="U15" s="6"/>
      <c r="V15" s="6"/>
      <c r="W15" s="6"/>
      <c r="X15" s="6"/>
      <c r="Y15" s="6"/>
      <c r="Z15" s="6"/>
      <c r="AA15" s="6"/>
    </row>
    <row r="16" spans="1:27" x14ac:dyDescent="0.3">
      <c r="A16" s="2">
        <v>45306</v>
      </c>
      <c r="B16" s="3">
        <v>2024</v>
      </c>
      <c r="C16" s="3" t="s">
        <v>55</v>
      </c>
      <c r="D16" s="3" t="s">
        <v>17</v>
      </c>
      <c r="E16" s="3" t="s">
        <v>56</v>
      </c>
      <c r="F16" s="3" t="s">
        <v>19</v>
      </c>
      <c r="G16" s="3" t="s">
        <v>20</v>
      </c>
      <c r="H16" s="3">
        <v>4000</v>
      </c>
      <c r="I16" s="3">
        <v>8</v>
      </c>
      <c r="J16" s="3">
        <f t="shared" si="1"/>
        <v>32000</v>
      </c>
      <c r="K16" s="3">
        <f t="shared" si="2"/>
        <v>3200</v>
      </c>
      <c r="L16" t="str">
        <f t="shared" si="0"/>
        <v>no</v>
      </c>
      <c r="M16" t="str">
        <f t="shared" si="3"/>
        <v>NO</v>
      </c>
      <c r="N16" t="str">
        <f t="shared" si="4"/>
        <v>no</v>
      </c>
      <c r="O16" t="str">
        <f t="shared" si="5"/>
        <v>FALSE</v>
      </c>
      <c r="P16" s="6" t="s">
        <v>39</v>
      </c>
      <c r="Q16" s="6" t="s">
        <v>99</v>
      </c>
      <c r="R16" s="6" t="str" cm="1">
        <f t="array" ref="R16:T16">VLOOKUP(P16,C1:O29,{2,4,7},0)</f>
        <v>West</v>
      </c>
      <c r="S16" s="6" t="str">
        <v>Art</v>
      </c>
      <c r="T16" s="6">
        <v>9</v>
      </c>
      <c r="U16" s="6"/>
      <c r="V16" s="6"/>
      <c r="W16" s="6"/>
      <c r="X16" s="6"/>
      <c r="Y16" s="6"/>
      <c r="Z16" s="6"/>
      <c r="AA16" s="6"/>
    </row>
    <row r="17" spans="1:27" x14ac:dyDescent="0.3">
      <c r="A17" s="2">
        <v>45307</v>
      </c>
      <c r="B17" s="3">
        <v>2024</v>
      </c>
      <c r="C17" s="3" t="s">
        <v>57</v>
      </c>
      <c r="D17" s="3" t="s">
        <v>35</v>
      </c>
      <c r="E17" s="3" t="s">
        <v>58</v>
      </c>
      <c r="F17" s="3" t="s">
        <v>24</v>
      </c>
      <c r="G17" s="3" t="s">
        <v>25</v>
      </c>
      <c r="H17" s="3">
        <v>3200</v>
      </c>
      <c r="I17" s="3">
        <v>7</v>
      </c>
      <c r="J17" s="3">
        <f t="shared" si="1"/>
        <v>22400</v>
      </c>
      <c r="K17" s="3">
        <f t="shared" si="2"/>
        <v>2240</v>
      </c>
      <c r="L17" t="str">
        <f t="shared" si="0"/>
        <v>no</v>
      </c>
      <c r="M17" t="str">
        <f t="shared" si="3"/>
        <v>YES</v>
      </c>
      <c r="N17" t="str">
        <f t="shared" si="4"/>
        <v>yes</v>
      </c>
      <c r="O17" t="str">
        <f t="shared" si="5"/>
        <v>FALSE</v>
      </c>
      <c r="P17" s="6" t="s">
        <v>46</v>
      </c>
      <c r="Q17" s="6" t="s">
        <v>100</v>
      </c>
      <c r="R17" s="6" t="str">
        <f>VLOOKUP($E$11,$E$1:$O$29,COLUMNS($E$1:F1),0)</f>
        <v>Mobile</v>
      </c>
      <c r="S17" s="6" t="str">
        <f>VLOOKUP($E$11,$E$1:$O$29,COLUMNS($E$1:G1),0)</f>
        <v>SSD256 GB</v>
      </c>
      <c r="T17" s="6">
        <f>VLOOKUP($E$11,$E$1:$O$29,COLUMNS($E$1:H1),0)</f>
        <v>4000</v>
      </c>
      <c r="U17" s="6">
        <f>VLOOKUP($E$11,$E$1:$O$29,COLUMNS($E$1:I1),0)</f>
        <v>7</v>
      </c>
      <c r="V17" s="6">
        <f>VLOOKUP($E$11,$E$1:$O$29,COLUMNS($E$1:J1),0)</f>
        <v>28000</v>
      </c>
      <c r="W17" s="6">
        <f>VLOOKUP($E$11,$E$1:$O$29,COLUMNS($E$1:K1),0)</f>
        <v>2800</v>
      </c>
      <c r="X17" s="6" t="str">
        <f>VLOOKUP($E$11,$E$1:$O$29,COLUMNS($E$1:L1),0)</f>
        <v>no</v>
      </c>
      <c r="Y17" s="6" t="str">
        <f>VLOOKUP($E$11,$E$1:$O$29,COLUMNS($E$1:M1),0)</f>
        <v>NO</v>
      </c>
      <c r="Z17" s="6" t="str">
        <f>VLOOKUP($E$11,$E$1:$O$29,COLUMNS($E$1:N1),0)</f>
        <v>no</v>
      </c>
      <c r="AA17" s="6" t="str">
        <f>VLOOKUP($E$11,$E$1:$O$29,COLUMNS($E$1:O1),0)</f>
        <v>FALSE</v>
      </c>
    </row>
    <row r="18" spans="1:27" x14ac:dyDescent="0.3">
      <c r="A18" s="2">
        <v>45308</v>
      </c>
      <c r="B18" s="3">
        <v>2024</v>
      </c>
      <c r="C18" s="3" t="s">
        <v>59</v>
      </c>
      <c r="D18" s="3" t="s">
        <v>22</v>
      </c>
      <c r="E18" s="3" t="s">
        <v>60</v>
      </c>
      <c r="F18" s="3" t="s">
        <v>28</v>
      </c>
      <c r="G18" s="3" t="s">
        <v>29</v>
      </c>
      <c r="H18" s="3">
        <v>4000</v>
      </c>
      <c r="I18" s="3">
        <v>15</v>
      </c>
      <c r="J18" s="3">
        <f t="shared" si="1"/>
        <v>60000</v>
      </c>
      <c r="K18" s="3">
        <f t="shared" si="2"/>
        <v>6000</v>
      </c>
      <c r="L18" t="str">
        <f t="shared" si="0"/>
        <v>no</v>
      </c>
      <c r="M18" t="str">
        <f>IF(AND(D18="south",G18="Printer",I18&gt;5),"YES","NO")</f>
        <v>NO</v>
      </c>
      <c r="N18" t="str">
        <f t="shared" si="4"/>
        <v>no</v>
      </c>
      <c r="O18" t="str">
        <f t="shared" si="5"/>
        <v>FALSE</v>
      </c>
      <c r="P18" s="6" t="s">
        <v>42</v>
      </c>
      <c r="Q18" s="6" t="s">
        <v>101</v>
      </c>
      <c r="R18" s="6">
        <f>VLOOKUP(P18,C1:O29,MATCH(Q18,A1:O1,0),0)</f>
        <v>600</v>
      </c>
      <c r="S18" s="6"/>
      <c r="T18" s="6"/>
      <c r="U18" s="6"/>
      <c r="V18" s="6"/>
      <c r="W18" s="6"/>
      <c r="X18" s="6"/>
      <c r="Y18" s="6"/>
      <c r="Z18" s="6"/>
      <c r="AA18" s="6"/>
    </row>
    <row r="19" spans="1:27" x14ac:dyDescent="0.3">
      <c r="A19" s="2">
        <v>45309</v>
      </c>
      <c r="B19" s="3">
        <v>2024</v>
      </c>
      <c r="C19" s="3" t="s">
        <v>61</v>
      </c>
      <c r="D19" s="3" t="s">
        <v>17</v>
      </c>
      <c r="E19" s="3" t="s">
        <v>62</v>
      </c>
      <c r="F19" s="3" t="s">
        <v>32</v>
      </c>
      <c r="G19" s="3" t="s">
        <v>33</v>
      </c>
      <c r="H19" s="3">
        <v>1500</v>
      </c>
      <c r="I19" s="3">
        <v>4</v>
      </c>
      <c r="J19" s="3">
        <f t="shared" si="1"/>
        <v>6000</v>
      </c>
      <c r="K19" s="3">
        <f t="shared" si="2"/>
        <v>600</v>
      </c>
      <c r="L19" t="str">
        <f t="shared" si="0"/>
        <v>no</v>
      </c>
      <c r="M19" t="str">
        <f t="shared" si="3"/>
        <v>NO</v>
      </c>
      <c r="N19" t="str">
        <f t="shared" si="4"/>
        <v>yes</v>
      </c>
      <c r="O19" t="str">
        <f t="shared" si="5"/>
        <v>FALSE</v>
      </c>
      <c r="P19" s="6"/>
      <c r="Q19" s="6"/>
      <c r="R19" s="6"/>
      <c r="S19" s="6"/>
      <c r="T19" s="6"/>
      <c r="U19" s="6"/>
      <c r="V19" s="6"/>
      <c r="W19" s="6"/>
      <c r="X19" s="6"/>
      <c r="Y19" s="6"/>
      <c r="Z19" s="6"/>
      <c r="AA19" s="6"/>
    </row>
    <row r="20" spans="1:27" x14ac:dyDescent="0.3">
      <c r="A20" s="2">
        <v>45310</v>
      </c>
      <c r="B20" s="3">
        <v>2024</v>
      </c>
      <c r="C20" s="3" t="s">
        <v>63</v>
      </c>
      <c r="D20" s="3" t="s">
        <v>12</v>
      </c>
      <c r="E20" s="3" t="s">
        <v>64</v>
      </c>
      <c r="F20" s="3" t="s">
        <v>14</v>
      </c>
      <c r="G20" s="3" t="s">
        <v>15</v>
      </c>
      <c r="H20" s="3">
        <v>300</v>
      </c>
      <c r="I20" s="3">
        <v>12</v>
      </c>
      <c r="J20" s="3">
        <f t="shared" si="1"/>
        <v>3600</v>
      </c>
      <c r="K20" s="3">
        <f t="shared" si="2"/>
        <v>360</v>
      </c>
      <c r="L20" t="str">
        <f t="shared" si="0"/>
        <v>yes</v>
      </c>
      <c r="M20" t="str">
        <f t="shared" si="3"/>
        <v>NO</v>
      </c>
      <c r="N20" t="str">
        <f t="shared" si="4"/>
        <v>yes</v>
      </c>
      <c r="O20" t="str">
        <f t="shared" si="5"/>
        <v>FALSE</v>
      </c>
    </row>
    <row r="21" spans="1:27" x14ac:dyDescent="0.3">
      <c r="A21" s="2">
        <v>45311</v>
      </c>
      <c r="B21" s="3">
        <v>2024</v>
      </c>
      <c r="C21" s="3" t="s">
        <v>65</v>
      </c>
      <c r="D21" s="3" t="s">
        <v>12</v>
      </c>
      <c r="E21" s="3" t="s">
        <v>66</v>
      </c>
      <c r="F21" s="3" t="s">
        <v>14</v>
      </c>
      <c r="G21" s="3" t="s">
        <v>25</v>
      </c>
      <c r="H21" s="3">
        <v>4500</v>
      </c>
      <c r="I21" s="3">
        <v>18</v>
      </c>
      <c r="J21" s="3">
        <f t="shared" si="1"/>
        <v>81000</v>
      </c>
      <c r="K21" s="3">
        <f t="shared" si="2"/>
        <v>8100</v>
      </c>
      <c r="L21" t="str">
        <f t="shared" si="0"/>
        <v>yes</v>
      </c>
      <c r="M21" t="str">
        <f t="shared" si="3"/>
        <v>NO</v>
      </c>
      <c r="N21" t="str">
        <f t="shared" si="4"/>
        <v>yes</v>
      </c>
      <c r="O21" t="str">
        <f t="shared" si="5"/>
        <v>FALSE</v>
      </c>
      <c r="P21" s="7" t="s">
        <v>64</v>
      </c>
      <c r="Q21" t="str">
        <f>VLOOKUP(P21,CHOOSE({1,2},E1:E29,C1:C29),2,0)</f>
        <v>NN019</v>
      </c>
    </row>
    <row r="22" spans="1:27" x14ac:dyDescent="0.3">
      <c r="A22" s="2">
        <v>45312</v>
      </c>
      <c r="B22" s="3">
        <v>2024</v>
      </c>
      <c r="C22" s="3" t="s">
        <v>67</v>
      </c>
      <c r="D22" s="3" t="s">
        <v>12</v>
      </c>
      <c r="E22" s="3" t="s">
        <v>68</v>
      </c>
      <c r="F22" s="3" t="s">
        <v>24</v>
      </c>
      <c r="G22" s="3" t="s">
        <v>41</v>
      </c>
      <c r="H22" s="3">
        <v>2600</v>
      </c>
      <c r="I22" s="3">
        <v>49</v>
      </c>
      <c r="J22" s="3">
        <f t="shared" si="1"/>
        <v>127400</v>
      </c>
      <c r="K22" s="3">
        <f t="shared" si="2"/>
        <v>12740</v>
      </c>
      <c r="L22" t="str">
        <f t="shared" si="0"/>
        <v>yes</v>
      </c>
      <c r="M22" t="str">
        <f t="shared" si="3"/>
        <v>NO</v>
      </c>
      <c r="N22" t="str">
        <f t="shared" si="4"/>
        <v>no</v>
      </c>
      <c r="O22" t="str">
        <f t="shared" si="5"/>
        <v>FALSE</v>
      </c>
      <c r="P22" s="7" t="s">
        <v>102</v>
      </c>
      <c r="Q22">
        <f>VLOOKUP(D4,D1:O29,6,0)</f>
        <v>6</v>
      </c>
    </row>
    <row r="23" spans="1:27" x14ac:dyDescent="0.3">
      <c r="A23" s="2">
        <v>45313</v>
      </c>
      <c r="B23" s="3">
        <v>2024</v>
      </c>
      <c r="C23" s="3" t="s">
        <v>69</v>
      </c>
      <c r="D23" s="3" t="s">
        <v>17</v>
      </c>
      <c r="E23" s="3" t="s">
        <v>70</v>
      </c>
      <c r="F23" s="3" t="s">
        <v>14</v>
      </c>
      <c r="G23" s="3" t="s">
        <v>44</v>
      </c>
      <c r="H23" s="3">
        <v>600</v>
      </c>
      <c r="I23" s="3">
        <v>6</v>
      </c>
      <c r="J23" s="3">
        <f t="shared" si="1"/>
        <v>3600</v>
      </c>
      <c r="K23" s="3">
        <f t="shared" si="2"/>
        <v>360</v>
      </c>
      <c r="L23" t="str">
        <f t="shared" si="0"/>
        <v>no</v>
      </c>
      <c r="M23" t="str">
        <f t="shared" si="3"/>
        <v>NO</v>
      </c>
      <c r="N23" t="str">
        <f t="shared" si="4"/>
        <v>no</v>
      </c>
      <c r="O23" t="str">
        <f t="shared" si="5"/>
        <v>FALSE</v>
      </c>
      <c r="P23" s="7" t="s">
        <v>64</v>
      </c>
      <c r="Q23" t="str" cm="1">
        <f t="array" ref="Q23:S23">VLOOKUP(P23,CHOOSE({1,2,3,4},E1:E29,C1:C29,G1:G29,B1:B29),{2,3,4},0)</f>
        <v>NN019</v>
      </c>
      <c r="R23" t="str">
        <v>Mouse</v>
      </c>
      <c r="S23">
        <v>2024</v>
      </c>
    </row>
    <row r="24" spans="1:27" x14ac:dyDescent="0.3">
      <c r="A24" s="2">
        <v>45314</v>
      </c>
      <c r="B24" s="3">
        <v>2024</v>
      </c>
      <c r="C24" s="3" t="s">
        <v>71</v>
      </c>
      <c r="D24" s="3" t="s">
        <v>22</v>
      </c>
      <c r="E24" s="3" t="s">
        <v>72</v>
      </c>
      <c r="F24" s="3" t="s">
        <v>32</v>
      </c>
      <c r="G24" s="3" t="s">
        <v>29</v>
      </c>
      <c r="H24" s="3">
        <v>4000</v>
      </c>
      <c r="I24" s="3">
        <v>8</v>
      </c>
      <c r="J24" s="3">
        <f t="shared" si="1"/>
        <v>32000</v>
      </c>
      <c r="K24" s="3">
        <f t="shared" si="2"/>
        <v>3200</v>
      </c>
      <c r="L24" t="str">
        <f t="shared" si="0"/>
        <v>no</v>
      </c>
      <c r="M24" t="str">
        <f t="shared" si="3"/>
        <v>NO</v>
      </c>
      <c r="N24" t="str">
        <f t="shared" si="4"/>
        <v>no</v>
      </c>
      <c r="O24" t="str">
        <f t="shared" si="5"/>
        <v>FALSE</v>
      </c>
    </row>
    <row r="25" spans="1:27" x14ac:dyDescent="0.3">
      <c r="A25" s="2">
        <v>45315</v>
      </c>
      <c r="B25" s="3">
        <v>2024</v>
      </c>
      <c r="C25" s="3" t="s">
        <v>73</v>
      </c>
      <c r="D25" s="3" t="s">
        <v>12</v>
      </c>
      <c r="E25" s="3" t="s">
        <v>74</v>
      </c>
      <c r="F25" s="3" t="s">
        <v>24</v>
      </c>
      <c r="G25" s="3" t="s">
        <v>25</v>
      </c>
      <c r="H25" s="3">
        <v>3200</v>
      </c>
      <c r="I25" s="3">
        <v>9</v>
      </c>
      <c r="J25" s="3">
        <f t="shared" si="1"/>
        <v>28800</v>
      </c>
      <c r="K25" s="3">
        <f t="shared" si="2"/>
        <v>2880</v>
      </c>
      <c r="L25" t="str">
        <f t="shared" si="0"/>
        <v>no</v>
      </c>
      <c r="M25" t="str">
        <f t="shared" si="3"/>
        <v>NO</v>
      </c>
      <c r="N25" t="str">
        <f t="shared" si="4"/>
        <v>no</v>
      </c>
      <c r="O25" t="str">
        <f t="shared" si="5"/>
        <v>FALSE</v>
      </c>
    </row>
    <row r="26" spans="1:27" x14ac:dyDescent="0.3">
      <c r="A26" s="2">
        <v>45316</v>
      </c>
      <c r="B26" s="3">
        <v>2024</v>
      </c>
      <c r="C26" s="3" t="s">
        <v>75</v>
      </c>
      <c r="D26" s="3" t="s">
        <v>17</v>
      </c>
      <c r="E26" s="3" t="s">
        <v>76</v>
      </c>
      <c r="F26" s="3" t="s">
        <v>28</v>
      </c>
      <c r="G26" s="3" t="s">
        <v>33</v>
      </c>
      <c r="H26" s="3">
        <v>2500</v>
      </c>
      <c r="I26" s="3">
        <v>7</v>
      </c>
      <c r="J26" s="3">
        <f t="shared" si="1"/>
        <v>17500</v>
      </c>
      <c r="K26" s="3">
        <f t="shared" si="2"/>
        <v>1750</v>
      </c>
      <c r="L26" t="str">
        <f t="shared" si="0"/>
        <v>no</v>
      </c>
      <c r="M26" t="str">
        <f t="shared" si="3"/>
        <v>NO</v>
      </c>
      <c r="N26" t="str">
        <f t="shared" si="4"/>
        <v>yes</v>
      </c>
      <c r="O26" t="str">
        <f t="shared" si="5"/>
        <v>FALSE</v>
      </c>
    </row>
    <row r="27" spans="1:27" x14ac:dyDescent="0.3">
      <c r="A27" s="2">
        <v>45317</v>
      </c>
      <c r="B27" s="3">
        <v>2024</v>
      </c>
      <c r="C27" s="3" t="s">
        <v>77</v>
      </c>
      <c r="D27" s="3" t="s">
        <v>35</v>
      </c>
      <c r="E27" s="3" t="s">
        <v>78</v>
      </c>
      <c r="F27" s="3" t="s">
        <v>24</v>
      </c>
      <c r="G27" s="3" t="s">
        <v>41</v>
      </c>
      <c r="H27" s="3">
        <v>3000</v>
      </c>
      <c r="I27" s="3">
        <v>12</v>
      </c>
      <c r="J27" s="3">
        <f t="shared" si="1"/>
        <v>36000</v>
      </c>
      <c r="K27" s="3">
        <f t="shared" si="2"/>
        <v>3600</v>
      </c>
      <c r="L27" t="str">
        <f t="shared" si="0"/>
        <v>no</v>
      </c>
      <c r="M27" t="str">
        <f t="shared" si="3"/>
        <v>NO</v>
      </c>
      <c r="N27" t="str">
        <f t="shared" si="4"/>
        <v>yes</v>
      </c>
      <c r="O27" t="str">
        <f t="shared" si="5"/>
        <v>FALSE</v>
      </c>
    </row>
    <row r="28" spans="1:27" x14ac:dyDescent="0.3">
      <c r="A28" s="2">
        <v>45318</v>
      </c>
      <c r="B28" s="3">
        <v>2024</v>
      </c>
      <c r="C28" s="3" t="s">
        <v>79</v>
      </c>
      <c r="D28" s="3" t="s">
        <v>22</v>
      </c>
      <c r="E28" s="3" t="s">
        <v>80</v>
      </c>
      <c r="F28" s="3" t="s">
        <v>19</v>
      </c>
      <c r="G28" s="3" t="s">
        <v>20</v>
      </c>
      <c r="H28" s="3">
        <v>4500</v>
      </c>
      <c r="I28" s="3">
        <v>14</v>
      </c>
      <c r="J28" s="3">
        <f t="shared" si="1"/>
        <v>63000</v>
      </c>
      <c r="K28" s="3">
        <f t="shared" si="2"/>
        <v>6300</v>
      </c>
      <c r="L28" t="str">
        <f t="shared" si="0"/>
        <v>no</v>
      </c>
      <c r="M28" t="str">
        <f t="shared" si="3"/>
        <v>NO</v>
      </c>
      <c r="N28" t="str">
        <f t="shared" si="4"/>
        <v>yes</v>
      </c>
      <c r="O28" t="str">
        <f t="shared" si="5"/>
        <v>FALSE</v>
      </c>
    </row>
    <row r="29" spans="1:27" x14ac:dyDescent="0.3">
      <c r="A29" s="2">
        <v>45319</v>
      </c>
      <c r="B29" s="3">
        <v>2024</v>
      </c>
      <c r="C29" s="3" t="s">
        <v>81</v>
      </c>
      <c r="D29" s="3" t="s">
        <v>17</v>
      </c>
      <c r="E29" s="3" t="s">
        <v>82</v>
      </c>
      <c r="F29" s="3" t="s">
        <v>24</v>
      </c>
      <c r="G29" s="3" t="s">
        <v>25</v>
      </c>
      <c r="H29" s="3">
        <v>3200</v>
      </c>
      <c r="I29" s="3">
        <v>20</v>
      </c>
      <c r="J29" s="3">
        <f t="shared" si="1"/>
        <v>64000</v>
      </c>
      <c r="K29" s="3">
        <f t="shared" si="2"/>
        <v>6400</v>
      </c>
      <c r="L29" t="str">
        <f t="shared" si="0"/>
        <v>no</v>
      </c>
      <c r="M29" t="str">
        <f t="shared" si="3"/>
        <v>NO</v>
      </c>
      <c r="N29" t="str">
        <f t="shared" si="4"/>
        <v>no</v>
      </c>
      <c r="O29" t="str">
        <f t="shared" si="5"/>
        <v>FALSE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D9B3-D1C7-49EE-9C1B-1EB6EAEDB603}">
  <dimension ref="A1:AD29"/>
  <sheetViews>
    <sheetView zoomScale="87" workbookViewId="0">
      <selection activeCell="H31" sqref="H31"/>
    </sheetView>
  </sheetViews>
  <sheetFormatPr defaultRowHeight="14.4" x14ac:dyDescent="0.3"/>
  <cols>
    <col min="1" max="1" width="10.33203125" bestFit="1" customWidth="1"/>
    <col min="2" max="2" width="5" bestFit="1" customWidth="1"/>
    <col min="3" max="4" width="6.77734375" bestFit="1" customWidth="1"/>
    <col min="5" max="5" width="10.6640625" bestFit="1" customWidth="1"/>
    <col min="6" max="6" width="9.44140625" bestFit="1" customWidth="1"/>
    <col min="7" max="7" width="10.44140625" bestFit="1" customWidth="1"/>
    <col min="8" max="8" width="5.21875" bestFit="1" customWidth="1"/>
    <col min="9" max="9" width="4" bestFit="1" customWidth="1"/>
    <col min="10" max="10" width="7.88671875" bestFit="1" customWidth="1"/>
    <col min="11" max="11" width="9.109375" bestFit="1" customWidth="1"/>
    <col min="12" max="12" width="17.33203125" bestFit="1" customWidth="1"/>
    <col min="13" max="13" width="28.6640625" bestFit="1" customWidth="1"/>
    <col min="14" max="14" width="19.44140625" bestFit="1" customWidth="1"/>
    <col min="15" max="15" width="26" bestFit="1" customWidth="1"/>
    <col min="17" max="17" width="17.77734375" customWidth="1"/>
    <col min="18" max="18" width="19.88671875" customWidth="1"/>
    <col min="19" max="19" width="12.109375" bestFit="1" customWidth="1"/>
  </cols>
  <sheetData>
    <row r="1" spans="1:30" x14ac:dyDescent="0.3">
      <c r="A1" s="1" t="s">
        <v>0</v>
      </c>
      <c r="B1" s="1" t="s">
        <v>1</v>
      </c>
      <c r="C1" s="1" t="s">
        <v>2</v>
      </c>
      <c r="D1" s="1" t="s">
        <v>3</v>
      </c>
      <c r="E1" s="1" t="s">
        <v>4</v>
      </c>
      <c r="F1" s="1" t="s">
        <v>5</v>
      </c>
      <c r="G1" s="1" t="s">
        <v>6</v>
      </c>
      <c r="H1" s="1" t="s">
        <v>7</v>
      </c>
      <c r="I1" s="1" t="s">
        <v>8</v>
      </c>
      <c r="J1" s="1" t="s">
        <v>9</v>
      </c>
      <c r="K1" s="1" t="s">
        <v>10</v>
      </c>
      <c r="L1" s="4" t="s">
        <v>85</v>
      </c>
      <c r="M1" s="4" t="s">
        <v>86</v>
      </c>
      <c r="N1" s="4" t="s">
        <v>92</v>
      </c>
      <c r="O1" s="4" t="s">
        <v>93</v>
      </c>
      <c r="S1" s="8" t="s">
        <v>103</v>
      </c>
    </row>
    <row r="2" spans="1:30" x14ac:dyDescent="0.3">
      <c r="A2" s="2">
        <v>45292</v>
      </c>
      <c r="B2" s="3">
        <v>2024</v>
      </c>
      <c r="C2" s="3" t="s">
        <v>11</v>
      </c>
      <c r="D2" s="3" t="s">
        <v>12</v>
      </c>
      <c r="E2" s="3" t="s">
        <v>13</v>
      </c>
      <c r="F2" s="3" t="s">
        <v>14</v>
      </c>
      <c r="G2" s="3" t="s">
        <v>15</v>
      </c>
      <c r="H2" s="3">
        <v>210</v>
      </c>
      <c r="I2" s="3">
        <v>45</v>
      </c>
      <c r="J2" s="3">
        <f>H2*I2</f>
        <v>9450</v>
      </c>
      <c r="K2" s="3">
        <f>J2*10/100</f>
        <v>945</v>
      </c>
      <c r="L2" t="str">
        <f t="shared" ref="L2:L29" si="0">IF(AND(D2="East",I2&gt;10),"yes","no")</f>
        <v>yes</v>
      </c>
      <c r="M2" t="str">
        <f>IF(AND(D2="south",G2="Printer",I2&gt;5),"YES","NO")</f>
        <v>NO</v>
      </c>
      <c r="N2" t="str">
        <f>IF(I3&gt;=10,"yes","no")</f>
        <v>no</v>
      </c>
      <c r="O2" t="str">
        <f>IF(AND(D2="West",F2="Art",G2="Scanner",H2&gt;2000),"TRUE","FALSE")</f>
        <v>FALSE</v>
      </c>
    </row>
    <row r="3" spans="1:30" x14ac:dyDescent="0.3">
      <c r="A3" s="2">
        <v>45293</v>
      </c>
      <c r="B3" s="3">
        <v>2024</v>
      </c>
      <c r="C3" s="3" t="s">
        <v>16</v>
      </c>
      <c r="D3" s="3" t="s">
        <v>17</v>
      </c>
      <c r="E3" s="3" t="s">
        <v>18</v>
      </c>
      <c r="F3" s="3" t="s">
        <v>19</v>
      </c>
      <c r="G3" s="3" t="s">
        <v>20</v>
      </c>
      <c r="H3" s="3">
        <v>4000</v>
      </c>
      <c r="I3" s="3">
        <v>8</v>
      </c>
      <c r="J3" s="3">
        <f t="shared" ref="J3:J29" si="1">H3*I3</f>
        <v>32000</v>
      </c>
      <c r="K3" s="3">
        <f t="shared" ref="K3:K29" si="2">J3*10/100</f>
        <v>3200</v>
      </c>
      <c r="L3" t="str">
        <f t="shared" si="0"/>
        <v>no</v>
      </c>
      <c r="M3" t="str">
        <f t="shared" ref="M3:M29" si="3">IF(AND(D3="south",G3="Printer",I3&gt;5),"YES","NO")</f>
        <v>NO</v>
      </c>
      <c r="N3" t="str">
        <f t="shared" ref="N3:N29" si="4">IF(I4&gt;=10,"yes","no")</f>
        <v>no</v>
      </c>
      <c r="O3" t="str">
        <f t="shared" ref="O3:O29" si="5">IF(AND(D3="West",F3="Art",G3="Scanner",H3&gt;2000),"TRUE","FALSE")</f>
        <v>FALSE</v>
      </c>
      <c r="Q3" t="s">
        <v>46</v>
      </c>
      <c r="R3" t="s">
        <v>10</v>
      </c>
      <c r="S3" cm="1">
        <f t="array" ref="S3">_xlfn.XLOOKUP(Q3,E1:E29,_xlfn.XLOOKUP(R3,A1:O1,A1:O29))</f>
        <v>2800</v>
      </c>
    </row>
    <row r="4" spans="1:30" x14ac:dyDescent="0.3">
      <c r="A4" s="2">
        <v>45294</v>
      </c>
      <c r="B4" s="3">
        <v>2024</v>
      </c>
      <c r="C4" s="3" t="s">
        <v>21</v>
      </c>
      <c r="D4" s="3" t="s">
        <v>22</v>
      </c>
      <c r="E4" s="3" t="s">
        <v>23</v>
      </c>
      <c r="F4" s="3" t="s">
        <v>24</v>
      </c>
      <c r="G4" s="3" t="s">
        <v>25</v>
      </c>
      <c r="H4" s="3">
        <v>3200</v>
      </c>
      <c r="I4" s="3">
        <v>6</v>
      </c>
      <c r="J4" s="3">
        <f t="shared" si="1"/>
        <v>19200</v>
      </c>
      <c r="K4" s="3">
        <f t="shared" si="2"/>
        <v>1920</v>
      </c>
      <c r="L4" t="str">
        <f t="shared" si="0"/>
        <v>no</v>
      </c>
      <c r="M4" t="str">
        <f t="shared" si="3"/>
        <v>NO</v>
      </c>
      <c r="N4" t="str">
        <f t="shared" si="4"/>
        <v>no</v>
      </c>
      <c r="O4" t="str">
        <f t="shared" si="5"/>
        <v>FALSE</v>
      </c>
      <c r="Q4" t="s">
        <v>104</v>
      </c>
      <c r="R4" t="s">
        <v>105</v>
      </c>
      <c r="S4">
        <f>SUM(_xlfn.XLOOKUP(Q4,E1:E29,H1:K29))</f>
        <v>34807</v>
      </c>
    </row>
    <row r="5" spans="1:30" x14ac:dyDescent="0.3">
      <c r="A5" s="2">
        <v>45295</v>
      </c>
      <c r="B5" s="3">
        <v>2024</v>
      </c>
      <c r="C5" s="3" t="s">
        <v>26</v>
      </c>
      <c r="D5" s="3" t="s">
        <v>12</v>
      </c>
      <c r="E5" s="3" t="s">
        <v>27</v>
      </c>
      <c r="F5" s="3" t="s">
        <v>28</v>
      </c>
      <c r="G5" s="3" t="s">
        <v>29</v>
      </c>
      <c r="H5" s="3">
        <v>4000</v>
      </c>
      <c r="I5" s="3">
        <v>4</v>
      </c>
      <c r="J5" s="3">
        <f t="shared" si="1"/>
        <v>16000</v>
      </c>
      <c r="K5" s="3">
        <f t="shared" si="2"/>
        <v>1600</v>
      </c>
      <c r="L5" t="str">
        <f t="shared" si="0"/>
        <v>no</v>
      </c>
      <c r="M5" t="str">
        <f t="shared" si="3"/>
        <v>NO</v>
      </c>
      <c r="N5" t="str">
        <f t="shared" si="4"/>
        <v>no</v>
      </c>
      <c r="O5" t="str">
        <f t="shared" si="5"/>
        <v>FALSE</v>
      </c>
      <c r="Q5" t="s">
        <v>52</v>
      </c>
      <c r="R5" t="s">
        <v>106</v>
      </c>
      <c r="S5" t="str" cm="1">
        <f t="array" ref="S5:V5">_xlfn.XLOOKUP(Q5,E1:E29,CHOOSE({1,2,3,4},D1:D29,G1:G29,I1:I29,K1:K29))</f>
        <v xml:space="preserve">North </v>
      </c>
      <c r="T5" t="str">
        <v>Scanner</v>
      </c>
      <c r="U5">
        <v>6</v>
      </c>
      <c r="V5">
        <v>1800</v>
      </c>
    </row>
    <row r="6" spans="1:30" x14ac:dyDescent="0.3">
      <c r="A6" s="2">
        <v>45296</v>
      </c>
      <c r="B6" s="3">
        <v>2024</v>
      </c>
      <c r="C6" s="3" t="s">
        <v>30</v>
      </c>
      <c r="D6" s="3" t="s">
        <v>17</v>
      </c>
      <c r="E6" s="3" t="s">
        <v>31</v>
      </c>
      <c r="F6" s="3" t="s">
        <v>32</v>
      </c>
      <c r="G6" s="3" t="s">
        <v>33</v>
      </c>
      <c r="H6" s="3">
        <v>1500</v>
      </c>
      <c r="I6" s="3">
        <v>7</v>
      </c>
      <c r="J6" s="3">
        <f t="shared" si="1"/>
        <v>10500</v>
      </c>
      <c r="K6" s="3">
        <f t="shared" si="2"/>
        <v>1050</v>
      </c>
      <c r="L6" t="str">
        <f t="shared" si="0"/>
        <v>no</v>
      </c>
      <c r="M6" t="str">
        <f t="shared" si="3"/>
        <v>NO</v>
      </c>
      <c r="N6" t="str">
        <f t="shared" si="4"/>
        <v>no</v>
      </c>
      <c r="O6" t="str">
        <f t="shared" si="5"/>
        <v>FALSE</v>
      </c>
      <c r="Q6" t="s">
        <v>66</v>
      </c>
      <c r="R6" t="s">
        <v>107</v>
      </c>
      <c r="S6" t="str" cm="1">
        <f t="array" ref="S6:T6">_xlfn.XLOOKUP(Q6,E1:E29,CHOOSE({1,2},C1:C29,G1:G29))</f>
        <v>NN020</v>
      </c>
      <c r="T6" t="str">
        <v>Printer</v>
      </c>
    </row>
    <row r="7" spans="1:30" x14ac:dyDescent="0.3">
      <c r="A7" s="2">
        <v>45297</v>
      </c>
      <c r="B7" s="3">
        <v>2024</v>
      </c>
      <c r="C7" s="3" t="s">
        <v>34</v>
      </c>
      <c r="D7" s="3" t="s">
        <v>35</v>
      </c>
      <c r="E7" s="3" t="s">
        <v>36</v>
      </c>
      <c r="F7" s="3" t="s">
        <v>14</v>
      </c>
      <c r="G7" s="3" t="s">
        <v>15</v>
      </c>
      <c r="H7" s="3">
        <v>300</v>
      </c>
      <c r="I7" s="3">
        <v>2</v>
      </c>
      <c r="J7" s="3">
        <f t="shared" si="1"/>
        <v>600</v>
      </c>
      <c r="K7" s="3">
        <f t="shared" si="2"/>
        <v>60</v>
      </c>
      <c r="L7" t="str">
        <f t="shared" si="0"/>
        <v>no</v>
      </c>
      <c r="M7" t="str">
        <f t="shared" si="3"/>
        <v>NO</v>
      </c>
      <c r="N7" t="str">
        <f t="shared" si="4"/>
        <v>no</v>
      </c>
      <c r="O7" t="str">
        <f t="shared" si="5"/>
        <v>FALSE</v>
      </c>
      <c r="Q7" t="s">
        <v>45</v>
      </c>
      <c r="R7" t="s">
        <v>108</v>
      </c>
      <c r="S7" t="str" cm="1">
        <f t="array" ref="S7:AD7">VLOOKUP(Q7,C1:O29,{2,3,4,5,6,7,8,9,10,11,12,13},0)</f>
        <v>East</v>
      </c>
      <c r="T7" t="str">
        <v>Name10</v>
      </c>
      <c r="U7" t="str">
        <v>Mobile</v>
      </c>
      <c r="V7" t="str">
        <v>SSD256 GB</v>
      </c>
      <c r="W7">
        <v>4000</v>
      </c>
      <c r="X7">
        <v>7</v>
      </c>
      <c r="Y7">
        <v>28000</v>
      </c>
      <c r="Z7">
        <v>2800</v>
      </c>
      <c r="AA7" t="str">
        <v>no</v>
      </c>
      <c r="AB7" t="str">
        <v>NO</v>
      </c>
      <c r="AC7" t="str">
        <v>no</v>
      </c>
      <c r="AD7" t="str">
        <v>FALSE</v>
      </c>
    </row>
    <row r="8" spans="1:30" x14ac:dyDescent="0.3">
      <c r="A8" s="2">
        <v>45298</v>
      </c>
      <c r="B8" s="3">
        <v>2024</v>
      </c>
      <c r="C8" s="3" t="s">
        <v>37</v>
      </c>
      <c r="D8" s="3" t="s">
        <v>22</v>
      </c>
      <c r="E8" s="3" t="s">
        <v>38</v>
      </c>
      <c r="F8" s="3" t="s">
        <v>14</v>
      </c>
      <c r="G8" s="3" t="s">
        <v>25</v>
      </c>
      <c r="H8" s="3">
        <v>4500</v>
      </c>
      <c r="I8" s="3">
        <v>3</v>
      </c>
      <c r="J8" s="3">
        <f t="shared" si="1"/>
        <v>13500</v>
      </c>
      <c r="K8" s="3">
        <f t="shared" si="2"/>
        <v>1350</v>
      </c>
      <c r="L8" t="str">
        <f t="shared" si="0"/>
        <v>no</v>
      </c>
      <c r="M8" t="str">
        <f t="shared" si="3"/>
        <v>NO</v>
      </c>
      <c r="N8" t="str">
        <f t="shared" si="4"/>
        <v>no</v>
      </c>
      <c r="O8" t="str">
        <f t="shared" si="5"/>
        <v>FALSE</v>
      </c>
      <c r="Q8" t="s">
        <v>39</v>
      </c>
      <c r="R8" t="s">
        <v>109</v>
      </c>
      <c r="S8">
        <f>SUM(_xlfn.XLOOKUP(Q8,C1:C29,CHOOSE({1,2,3},H1:H29,J1:J29,K1:K29)))</f>
        <v>28340</v>
      </c>
    </row>
    <row r="9" spans="1:30" x14ac:dyDescent="0.3">
      <c r="A9" s="2">
        <v>45299</v>
      </c>
      <c r="B9" s="3">
        <v>2024</v>
      </c>
      <c r="C9" s="3" t="s">
        <v>39</v>
      </c>
      <c r="D9" s="3" t="s">
        <v>17</v>
      </c>
      <c r="E9" s="3" t="s">
        <v>40</v>
      </c>
      <c r="F9" s="3" t="s">
        <v>24</v>
      </c>
      <c r="G9" s="3" t="s">
        <v>41</v>
      </c>
      <c r="H9" s="3">
        <v>2600</v>
      </c>
      <c r="I9" s="3">
        <v>9</v>
      </c>
      <c r="J9" s="3">
        <f t="shared" si="1"/>
        <v>23400</v>
      </c>
      <c r="K9" s="3">
        <f t="shared" si="2"/>
        <v>2340</v>
      </c>
      <c r="L9" t="str">
        <f t="shared" si="0"/>
        <v>no</v>
      </c>
      <c r="M9" t="str">
        <f t="shared" si="3"/>
        <v>NO</v>
      </c>
      <c r="N9" t="str">
        <f t="shared" si="4"/>
        <v>no</v>
      </c>
      <c r="O9" t="str">
        <f t="shared" si="5"/>
        <v>TRUE</v>
      </c>
      <c r="Q9" t="s">
        <v>5</v>
      </c>
      <c r="S9">
        <f>DSUM(A1:O29,I1,Q9:Q10)</f>
        <v>122</v>
      </c>
    </row>
    <row r="10" spans="1:30" x14ac:dyDescent="0.3">
      <c r="A10" s="2">
        <v>45300</v>
      </c>
      <c r="B10" s="3">
        <v>2024</v>
      </c>
      <c r="C10" s="3" t="s">
        <v>42</v>
      </c>
      <c r="D10" s="3" t="s">
        <v>12</v>
      </c>
      <c r="E10" s="3" t="s">
        <v>43</v>
      </c>
      <c r="F10" s="3" t="s">
        <v>14</v>
      </c>
      <c r="G10" s="3" t="s">
        <v>44</v>
      </c>
      <c r="H10" s="3">
        <v>600</v>
      </c>
      <c r="I10" s="3">
        <v>8</v>
      </c>
      <c r="J10" s="3">
        <f t="shared" si="1"/>
        <v>4800</v>
      </c>
      <c r="K10" s="3">
        <f t="shared" si="2"/>
        <v>480</v>
      </c>
      <c r="L10" t="str">
        <f t="shared" si="0"/>
        <v>no</v>
      </c>
      <c r="M10" t="str">
        <f t="shared" si="3"/>
        <v>NO</v>
      </c>
      <c r="N10" t="str">
        <f t="shared" si="4"/>
        <v>no</v>
      </c>
      <c r="O10" t="str">
        <f t="shared" si="5"/>
        <v>FALSE</v>
      </c>
      <c r="Q10" t="s">
        <v>24</v>
      </c>
    </row>
    <row r="11" spans="1:30" x14ac:dyDescent="0.3">
      <c r="A11" s="2">
        <v>45301</v>
      </c>
      <c r="B11" s="3">
        <v>2024</v>
      </c>
      <c r="C11" s="3" t="s">
        <v>45</v>
      </c>
      <c r="D11" s="3" t="s">
        <v>12</v>
      </c>
      <c r="E11" s="3" t="s">
        <v>46</v>
      </c>
      <c r="F11" s="3" t="s">
        <v>32</v>
      </c>
      <c r="G11" s="3" t="s">
        <v>29</v>
      </c>
      <c r="H11" s="3">
        <v>4000</v>
      </c>
      <c r="I11" s="3">
        <v>7</v>
      </c>
      <c r="J11" s="3">
        <f t="shared" si="1"/>
        <v>28000</v>
      </c>
      <c r="K11" s="3">
        <f t="shared" si="2"/>
        <v>2800</v>
      </c>
      <c r="L11" t="str">
        <f t="shared" si="0"/>
        <v>no</v>
      </c>
      <c r="M11" t="str">
        <f t="shared" si="3"/>
        <v>NO</v>
      </c>
      <c r="N11" t="str">
        <f t="shared" si="4"/>
        <v>no</v>
      </c>
      <c r="O11" t="str">
        <f t="shared" si="5"/>
        <v>FALSE</v>
      </c>
      <c r="Q11" t="s">
        <v>110</v>
      </c>
      <c r="S11">
        <f>SUMIF(D1:D29,D2,G1:G29)</f>
        <v>0</v>
      </c>
    </row>
    <row r="12" spans="1:30" x14ac:dyDescent="0.3">
      <c r="A12" s="2">
        <v>45302</v>
      </c>
      <c r="B12" s="3">
        <v>2024</v>
      </c>
      <c r="C12" s="3" t="s">
        <v>47</v>
      </c>
      <c r="D12" s="3" t="s">
        <v>12</v>
      </c>
      <c r="E12" s="3" t="s">
        <v>48</v>
      </c>
      <c r="F12" s="3" t="s">
        <v>24</v>
      </c>
      <c r="G12" s="3" t="s">
        <v>25</v>
      </c>
      <c r="H12" s="3">
        <v>4500</v>
      </c>
      <c r="I12" s="3">
        <v>4</v>
      </c>
      <c r="J12" s="3">
        <f t="shared" si="1"/>
        <v>18000</v>
      </c>
      <c r="K12" s="3">
        <f t="shared" si="2"/>
        <v>1800</v>
      </c>
      <c r="L12" t="str">
        <f t="shared" si="0"/>
        <v>no</v>
      </c>
      <c r="M12" t="str">
        <f t="shared" si="3"/>
        <v>NO</v>
      </c>
      <c r="N12" t="str">
        <f t="shared" si="4"/>
        <v>no</v>
      </c>
      <c r="O12" t="str">
        <f t="shared" si="5"/>
        <v>FALSE</v>
      </c>
      <c r="Q12" t="s">
        <v>111</v>
      </c>
      <c r="R12" t="s">
        <v>96</v>
      </c>
      <c r="S12">
        <f>_xlfn.MAXIFS(H2:H29,F2:F29,"Computer")</f>
        <v>4500</v>
      </c>
    </row>
    <row r="13" spans="1:30" x14ac:dyDescent="0.3">
      <c r="A13" s="2">
        <v>45303</v>
      </c>
      <c r="B13" s="3">
        <v>2024</v>
      </c>
      <c r="C13" s="3" t="s">
        <v>49</v>
      </c>
      <c r="D13" s="3" t="s">
        <v>17</v>
      </c>
      <c r="E13" s="3" t="s">
        <v>50</v>
      </c>
      <c r="F13" s="3" t="s">
        <v>28</v>
      </c>
      <c r="G13" s="3" t="s">
        <v>33</v>
      </c>
      <c r="H13" s="3">
        <v>1600</v>
      </c>
      <c r="I13" s="3">
        <v>5</v>
      </c>
      <c r="J13" s="3">
        <f t="shared" si="1"/>
        <v>8000</v>
      </c>
      <c r="K13" s="3">
        <f t="shared" si="2"/>
        <v>800</v>
      </c>
      <c r="L13" t="str">
        <f t="shared" si="0"/>
        <v>no</v>
      </c>
      <c r="M13" t="str">
        <f t="shared" si="3"/>
        <v>NO</v>
      </c>
      <c r="N13" t="str">
        <f t="shared" si="4"/>
        <v>no</v>
      </c>
      <c r="O13" t="str">
        <f t="shared" si="5"/>
        <v>FALSE</v>
      </c>
      <c r="Q13" t="s">
        <v>112</v>
      </c>
      <c r="R13" t="s">
        <v>113</v>
      </c>
      <c r="S13" t="str">
        <f>HLOOKUP(G1,A1:O30,3,0)</f>
        <v>Monitor</v>
      </c>
    </row>
    <row r="14" spans="1:30" x14ac:dyDescent="0.3">
      <c r="A14" s="2">
        <v>45304</v>
      </c>
      <c r="B14" s="3">
        <v>2024</v>
      </c>
      <c r="C14" s="3" t="s">
        <v>51</v>
      </c>
      <c r="D14" s="3" t="s">
        <v>22</v>
      </c>
      <c r="E14" s="3" t="s">
        <v>52</v>
      </c>
      <c r="F14" s="3" t="s">
        <v>24</v>
      </c>
      <c r="G14" s="3" t="s">
        <v>41</v>
      </c>
      <c r="H14" s="3">
        <v>3000</v>
      </c>
      <c r="I14" s="3">
        <v>6</v>
      </c>
      <c r="J14" s="3">
        <f t="shared" si="1"/>
        <v>18000</v>
      </c>
      <c r="K14" s="3">
        <f t="shared" si="2"/>
        <v>1800</v>
      </c>
      <c r="L14" t="str">
        <f t="shared" si="0"/>
        <v>no</v>
      </c>
      <c r="M14" t="str">
        <f t="shared" si="3"/>
        <v>NO</v>
      </c>
      <c r="N14" t="str">
        <f t="shared" si="4"/>
        <v>no</v>
      </c>
      <c r="O14" t="str">
        <f t="shared" si="5"/>
        <v>FALSE</v>
      </c>
      <c r="Q14" t="s">
        <v>114</v>
      </c>
      <c r="R14" t="s">
        <v>115</v>
      </c>
      <c r="S14">
        <f>COUNTIFS(I2:I29,"&gt;10",I2:I29,"&lt;40")</f>
        <v>6</v>
      </c>
    </row>
    <row r="15" spans="1:30" x14ac:dyDescent="0.3">
      <c r="A15" s="2">
        <v>45305</v>
      </c>
      <c r="B15" s="3">
        <v>2024</v>
      </c>
      <c r="C15" s="3" t="s">
        <v>53</v>
      </c>
      <c r="D15" s="3" t="s">
        <v>12</v>
      </c>
      <c r="E15" s="3" t="s">
        <v>54</v>
      </c>
      <c r="F15" s="3" t="s">
        <v>14</v>
      </c>
      <c r="G15" s="3" t="s">
        <v>15</v>
      </c>
      <c r="H15" s="3">
        <v>210</v>
      </c>
      <c r="I15" s="3">
        <v>9</v>
      </c>
      <c r="J15" s="3">
        <f t="shared" si="1"/>
        <v>1890</v>
      </c>
      <c r="K15" s="3">
        <f t="shared" si="2"/>
        <v>189</v>
      </c>
      <c r="L15" t="str">
        <f t="shared" si="0"/>
        <v>no</v>
      </c>
      <c r="M15" t="str">
        <f t="shared" si="3"/>
        <v>NO</v>
      </c>
      <c r="N15" t="str">
        <f t="shared" si="4"/>
        <v>no</v>
      </c>
      <c r="O15" t="str">
        <f t="shared" si="5"/>
        <v>FALSE</v>
      </c>
      <c r="Q15" t="s">
        <v>56</v>
      </c>
      <c r="R15" t="s">
        <v>7</v>
      </c>
      <c r="S15" cm="1">
        <f t="array" ref="S15">_xlfn.XLOOKUP(Q15,E1:E29,_xlfn.XLOOKUP(R15,A1:O1,A1:O29))</f>
        <v>4000</v>
      </c>
    </row>
    <row r="16" spans="1:30" x14ac:dyDescent="0.3">
      <c r="A16" s="2">
        <v>45306</v>
      </c>
      <c r="B16" s="3">
        <v>2024</v>
      </c>
      <c r="C16" s="3" t="s">
        <v>55</v>
      </c>
      <c r="D16" s="3" t="s">
        <v>17</v>
      </c>
      <c r="E16" s="3" t="s">
        <v>56</v>
      </c>
      <c r="F16" s="3" t="s">
        <v>19</v>
      </c>
      <c r="G16" s="3" t="s">
        <v>20</v>
      </c>
      <c r="H16" s="3">
        <v>4000</v>
      </c>
      <c r="I16" s="3">
        <v>8</v>
      </c>
      <c r="J16" s="3">
        <f t="shared" si="1"/>
        <v>32000</v>
      </c>
      <c r="K16" s="3">
        <f t="shared" si="2"/>
        <v>3200</v>
      </c>
      <c r="L16" t="str">
        <f t="shared" si="0"/>
        <v>no</v>
      </c>
      <c r="M16" t="str">
        <f t="shared" si="3"/>
        <v>NO</v>
      </c>
      <c r="N16" t="str">
        <f t="shared" si="4"/>
        <v>no</v>
      </c>
      <c r="O16" t="str">
        <f t="shared" si="5"/>
        <v>FALSE</v>
      </c>
    </row>
    <row r="17" spans="1:15" x14ac:dyDescent="0.3">
      <c r="A17" s="2">
        <v>45307</v>
      </c>
      <c r="B17" s="3">
        <v>2024</v>
      </c>
      <c r="C17" s="3" t="s">
        <v>57</v>
      </c>
      <c r="D17" s="3" t="s">
        <v>35</v>
      </c>
      <c r="E17" s="3" t="s">
        <v>58</v>
      </c>
      <c r="F17" s="3" t="s">
        <v>24</v>
      </c>
      <c r="G17" s="3" t="s">
        <v>25</v>
      </c>
      <c r="H17" s="3">
        <v>3200</v>
      </c>
      <c r="I17" s="3">
        <v>7</v>
      </c>
      <c r="J17" s="3">
        <f t="shared" si="1"/>
        <v>22400</v>
      </c>
      <c r="K17" s="3">
        <f t="shared" si="2"/>
        <v>2240</v>
      </c>
      <c r="L17" t="str">
        <f t="shared" si="0"/>
        <v>no</v>
      </c>
      <c r="M17" t="str">
        <f t="shared" si="3"/>
        <v>YES</v>
      </c>
      <c r="N17" t="str">
        <f t="shared" si="4"/>
        <v>yes</v>
      </c>
      <c r="O17" t="str">
        <f t="shared" si="5"/>
        <v>FALSE</v>
      </c>
    </row>
    <row r="18" spans="1:15" x14ac:dyDescent="0.3">
      <c r="A18" s="2">
        <v>45308</v>
      </c>
      <c r="B18" s="3">
        <v>2024</v>
      </c>
      <c r="C18" s="3" t="s">
        <v>59</v>
      </c>
      <c r="D18" s="3" t="s">
        <v>22</v>
      </c>
      <c r="E18" s="3" t="s">
        <v>60</v>
      </c>
      <c r="F18" s="3" t="s">
        <v>28</v>
      </c>
      <c r="G18" s="3" t="s">
        <v>29</v>
      </c>
      <c r="H18" s="3">
        <v>4000</v>
      </c>
      <c r="I18" s="3">
        <v>15</v>
      </c>
      <c r="J18" s="3">
        <f t="shared" si="1"/>
        <v>60000</v>
      </c>
      <c r="K18" s="3">
        <f t="shared" si="2"/>
        <v>6000</v>
      </c>
      <c r="L18" t="str">
        <f t="shared" si="0"/>
        <v>no</v>
      </c>
      <c r="M18" t="str">
        <f>IF(AND(D18="south",G18="Printer",I18&gt;5),"YES","NO")</f>
        <v>NO</v>
      </c>
      <c r="N18" t="str">
        <f t="shared" si="4"/>
        <v>no</v>
      </c>
      <c r="O18" t="str">
        <f t="shared" si="5"/>
        <v>FALSE</v>
      </c>
    </row>
    <row r="19" spans="1:15" x14ac:dyDescent="0.3">
      <c r="A19" s="2">
        <v>45309</v>
      </c>
      <c r="B19" s="3">
        <v>2024</v>
      </c>
      <c r="C19" s="3" t="s">
        <v>61</v>
      </c>
      <c r="D19" s="3" t="s">
        <v>17</v>
      </c>
      <c r="E19" s="3" t="s">
        <v>62</v>
      </c>
      <c r="F19" s="3" t="s">
        <v>32</v>
      </c>
      <c r="G19" s="3" t="s">
        <v>33</v>
      </c>
      <c r="H19" s="3">
        <v>1500</v>
      </c>
      <c r="I19" s="3">
        <v>4</v>
      </c>
      <c r="J19" s="3">
        <f t="shared" si="1"/>
        <v>6000</v>
      </c>
      <c r="K19" s="3">
        <f t="shared" si="2"/>
        <v>600</v>
      </c>
      <c r="L19" t="str">
        <f t="shared" si="0"/>
        <v>no</v>
      </c>
      <c r="M19" t="str">
        <f t="shared" si="3"/>
        <v>NO</v>
      </c>
      <c r="N19" t="str">
        <f t="shared" si="4"/>
        <v>yes</v>
      </c>
      <c r="O19" t="str">
        <f t="shared" si="5"/>
        <v>FALSE</v>
      </c>
    </row>
    <row r="20" spans="1:15" x14ac:dyDescent="0.3">
      <c r="A20" s="2">
        <v>45310</v>
      </c>
      <c r="B20" s="3">
        <v>2024</v>
      </c>
      <c r="C20" s="3" t="s">
        <v>63</v>
      </c>
      <c r="D20" s="3" t="s">
        <v>12</v>
      </c>
      <c r="E20" s="3" t="s">
        <v>64</v>
      </c>
      <c r="F20" s="3" t="s">
        <v>14</v>
      </c>
      <c r="G20" s="3" t="s">
        <v>15</v>
      </c>
      <c r="H20" s="3">
        <v>300</v>
      </c>
      <c r="I20" s="3">
        <v>12</v>
      </c>
      <c r="J20" s="3">
        <f t="shared" si="1"/>
        <v>3600</v>
      </c>
      <c r="K20" s="3">
        <f t="shared" si="2"/>
        <v>360</v>
      </c>
      <c r="L20" t="str">
        <f t="shared" si="0"/>
        <v>yes</v>
      </c>
      <c r="M20" t="str">
        <f t="shared" si="3"/>
        <v>NO</v>
      </c>
      <c r="N20" t="str">
        <f t="shared" si="4"/>
        <v>yes</v>
      </c>
      <c r="O20" t="str">
        <f t="shared" si="5"/>
        <v>FALSE</v>
      </c>
    </row>
    <row r="21" spans="1:15" x14ac:dyDescent="0.3">
      <c r="A21" s="2">
        <v>45311</v>
      </c>
      <c r="B21" s="3">
        <v>2024</v>
      </c>
      <c r="C21" s="3" t="s">
        <v>65</v>
      </c>
      <c r="D21" s="3" t="s">
        <v>12</v>
      </c>
      <c r="E21" s="3" t="s">
        <v>66</v>
      </c>
      <c r="F21" s="3" t="s">
        <v>14</v>
      </c>
      <c r="G21" s="3" t="s">
        <v>25</v>
      </c>
      <c r="H21" s="3">
        <v>4500</v>
      </c>
      <c r="I21" s="3">
        <v>18</v>
      </c>
      <c r="J21" s="3">
        <f t="shared" si="1"/>
        <v>81000</v>
      </c>
      <c r="K21" s="3">
        <f t="shared" si="2"/>
        <v>8100</v>
      </c>
      <c r="L21" t="str">
        <f t="shared" si="0"/>
        <v>yes</v>
      </c>
      <c r="M21" t="str">
        <f t="shared" si="3"/>
        <v>NO</v>
      </c>
      <c r="N21" t="str">
        <f t="shared" si="4"/>
        <v>yes</v>
      </c>
      <c r="O21" t="str">
        <f t="shared" si="5"/>
        <v>FALSE</v>
      </c>
    </row>
    <row r="22" spans="1:15" x14ac:dyDescent="0.3">
      <c r="A22" s="2">
        <v>45312</v>
      </c>
      <c r="B22" s="3">
        <v>2024</v>
      </c>
      <c r="C22" s="3" t="s">
        <v>67</v>
      </c>
      <c r="D22" s="3" t="s">
        <v>12</v>
      </c>
      <c r="E22" s="3" t="s">
        <v>68</v>
      </c>
      <c r="F22" s="3" t="s">
        <v>24</v>
      </c>
      <c r="G22" s="3" t="s">
        <v>41</v>
      </c>
      <c r="H22" s="3">
        <v>2600</v>
      </c>
      <c r="I22" s="3">
        <v>49</v>
      </c>
      <c r="J22" s="3">
        <f t="shared" si="1"/>
        <v>127400</v>
      </c>
      <c r="K22" s="3">
        <f t="shared" si="2"/>
        <v>12740</v>
      </c>
      <c r="L22" t="str">
        <f t="shared" si="0"/>
        <v>yes</v>
      </c>
      <c r="M22" t="str">
        <f t="shared" si="3"/>
        <v>NO</v>
      </c>
      <c r="N22" t="str">
        <f t="shared" si="4"/>
        <v>no</v>
      </c>
      <c r="O22" t="str">
        <f t="shared" si="5"/>
        <v>FALSE</v>
      </c>
    </row>
    <row r="23" spans="1:15" x14ac:dyDescent="0.3">
      <c r="A23" s="2">
        <v>45313</v>
      </c>
      <c r="B23" s="3">
        <v>2024</v>
      </c>
      <c r="C23" s="3" t="s">
        <v>69</v>
      </c>
      <c r="D23" s="3" t="s">
        <v>17</v>
      </c>
      <c r="E23" s="3" t="s">
        <v>70</v>
      </c>
      <c r="F23" s="3" t="s">
        <v>14</v>
      </c>
      <c r="G23" s="3" t="s">
        <v>44</v>
      </c>
      <c r="H23" s="3">
        <v>600</v>
      </c>
      <c r="I23" s="3">
        <v>6</v>
      </c>
      <c r="J23" s="3">
        <f t="shared" si="1"/>
        <v>3600</v>
      </c>
      <c r="K23" s="3">
        <f t="shared" si="2"/>
        <v>360</v>
      </c>
      <c r="L23" t="str">
        <f t="shared" si="0"/>
        <v>no</v>
      </c>
      <c r="M23" t="str">
        <f t="shared" si="3"/>
        <v>NO</v>
      </c>
      <c r="N23" t="str">
        <f t="shared" si="4"/>
        <v>no</v>
      </c>
      <c r="O23" t="str">
        <f t="shared" si="5"/>
        <v>FALSE</v>
      </c>
    </row>
    <row r="24" spans="1:15" x14ac:dyDescent="0.3">
      <c r="A24" s="2">
        <v>45314</v>
      </c>
      <c r="B24" s="3">
        <v>2024</v>
      </c>
      <c r="C24" s="3" t="s">
        <v>71</v>
      </c>
      <c r="D24" s="3" t="s">
        <v>22</v>
      </c>
      <c r="E24" s="3" t="s">
        <v>72</v>
      </c>
      <c r="F24" s="3" t="s">
        <v>32</v>
      </c>
      <c r="G24" s="3" t="s">
        <v>29</v>
      </c>
      <c r="H24" s="3">
        <v>4000</v>
      </c>
      <c r="I24" s="3">
        <v>8</v>
      </c>
      <c r="J24" s="3">
        <f t="shared" si="1"/>
        <v>32000</v>
      </c>
      <c r="K24" s="3">
        <f t="shared" si="2"/>
        <v>3200</v>
      </c>
      <c r="L24" t="str">
        <f t="shared" si="0"/>
        <v>no</v>
      </c>
      <c r="M24" t="str">
        <f t="shared" si="3"/>
        <v>NO</v>
      </c>
      <c r="N24" t="str">
        <f t="shared" si="4"/>
        <v>no</v>
      </c>
      <c r="O24" t="str">
        <f t="shared" si="5"/>
        <v>FALSE</v>
      </c>
    </row>
    <row r="25" spans="1:15" x14ac:dyDescent="0.3">
      <c r="A25" s="2">
        <v>45315</v>
      </c>
      <c r="B25" s="3">
        <v>2024</v>
      </c>
      <c r="C25" s="3" t="s">
        <v>73</v>
      </c>
      <c r="D25" s="3" t="s">
        <v>12</v>
      </c>
      <c r="E25" s="3" t="s">
        <v>74</v>
      </c>
      <c r="F25" s="3" t="s">
        <v>24</v>
      </c>
      <c r="G25" s="3" t="s">
        <v>25</v>
      </c>
      <c r="H25" s="3">
        <v>3200</v>
      </c>
      <c r="I25" s="3">
        <v>9</v>
      </c>
      <c r="J25" s="3">
        <f t="shared" si="1"/>
        <v>28800</v>
      </c>
      <c r="K25" s="3">
        <f t="shared" si="2"/>
        <v>2880</v>
      </c>
      <c r="L25" t="str">
        <f t="shared" si="0"/>
        <v>no</v>
      </c>
      <c r="M25" t="str">
        <f t="shared" si="3"/>
        <v>NO</v>
      </c>
      <c r="N25" t="str">
        <f t="shared" si="4"/>
        <v>no</v>
      </c>
      <c r="O25" t="str">
        <f t="shared" si="5"/>
        <v>FALSE</v>
      </c>
    </row>
    <row r="26" spans="1:15" x14ac:dyDescent="0.3">
      <c r="A26" s="2">
        <v>45316</v>
      </c>
      <c r="B26" s="3">
        <v>2024</v>
      </c>
      <c r="C26" s="3" t="s">
        <v>75</v>
      </c>
      <c r="D26" s="3" t="s">
        <v>17</v>
      </c>
      <c r="E26" s="3" t="s">
        <v>76</v>
      </c>
      <c r="F26" s="3" t="s">
        <v>28</v>
      </c>
      <c r="G26" s="3" t="s">
        <v>33</v>
      </c>
      <c r="H26" s="3">
        <v>2500</v>
      </c>
      <c r="I26" s="3">
        <v>7</v>
      </c>
      <c r="J26" s="3">
        <f t="shared" si="1"/>
        <v>17500</v>
      </c>
      <c r="K26" s="3">
        <f t="shared" si="2"/>
        <v>1750</v>
      </c>
      <c r="L26" t="str">
        <f t="shared" si="0"/>
        <v>no</v>
      </c>
      <c r="M26" t="str">
        <f t="shared" si="3"/>
        <v>NO</v>
      </c>
      <c r="N26" t="str">
        <f t="shared" si="4"/>
        <v>yes</v>
      </c>
      <c r="O26" t="str">
        <f t="shared" si="5"/>
        <v>FALSE</v>
      </c>
    </row>
    <row r="27" spans="1:15" x14ac:dyDescent="0.3">
      <c r="A27" s="2">
        <v>45317</v>
      </c>
      <c r="B27" s="3">
        <v>2024</v>
      </c>
      <c r="C27" s="3" t="s">
        <v>77</v>
      </c>
      <c r="D27" s="3" t="s">
        <v>35</v>
      </c>
      <c r="E27" s="3" t="s">
        <v>78</v>
      </c>
      <c r="F27" s="3" t="s">
        <v>24</v>
      </c>
      <c r="G27" s="3" t="s">
        <v>41</v>
      </c>
      <c r="H27" s="3">
        <v>3000</v>
      </c>
      <c r="I27" s="3">
        <v>12</v>
      </c>
      <c r="J27" s="3">
        <f t="shared" si="1"/>
        <v>36000</v>
      </c>
      <c r="K27" s="3">
        <f t="shared" si="2"/>
        <v>3600</v>
      </c>
      <c r="L27" t="str">
        <f t="shared" si="0"/>
        <v>no</v>
      </c>
      <c r="M27" t="str">
        <f t="shared" si="3"/>
        <v>NO</v>
      </c>
      <c r="N27" t="str">
        <f t="shared" si="4"/>
        <v>yes</v>
      </c>
      <c r="O27" t="str">
        <f t="shared" si="5"/>
        <v>FALSE</v>
      </c>
    </row>
    <row r="28" spans="1:15" x14ac:dyDescent="0.3">
      <c r="A28" s="2">
        <v>45318</v>
      </c>
      <c r="B28" s="3">
        <v>2024</v>
      </c>
      <c r="C28" s="3" t="s">
        <v>79</v>
      </c>
      <c r="D28" s="3" t="s">
        <v>22</v>
      </c>
      <c r="E28" s="3" t="s">
        <v>80</v>
      </c>
      <c r="F28" s="3" t="s">
        <v>19</v>
      </c>
      <c r="G28" s="3" t="s">
        <v>20</v>
      </c>
      <c r="H28" s="3">
        <v>4500</v>
      </c>
      <c r="I28" s="3">
        <v>14</v>
      </c>
      <c r="J28" s="3">
        <f t="shared" si="1"/>
        <v>63000</v>
      </c>
      <c r="K28" s="3">
        <f t="shared" si="2"/>
        <v>6300</v>
      </c>
      <c r="L28" t="str">
        <f t="shared" si="0"/>
        <v>no</v>
      </c>
      <c r="M28" t="str">
        <f t="shared" si="3"/>
        <v>NO</v>
      </c>
      <c r="N28" t="str">
        <f t="shared" si="4"/>
        <v>yes</v>
      </c>
      <c r="O28" t="str">
        <f t="shared" si="5"/>
        <v>FALSE</v>
      </c>
    </row>
    <row r="29" spans="1:15" x14ac:dyDescent="0.3">
      <c r="A29" s="2">
        <v>45319</v>
      </c>
      <c r="B29" s="3">
        <v>2024</v>
      </c>
      <c r="C29" s="3" t="s">
        <v>81</v>
      </c>
      <c r="D29" s="3" t="s">
        <v>17</v>
      </c>
      <c r="E29" s="3" t="s">
        <v>82</v>
      </c>
      <c r="F29" s="3" t="s">
        <v>24</v>
      </c>
      <c r="G29" s="3" t="s">
        <v>25</v>
      </c>
      <c r="H29" s="3">
        <v>3200</v>
      </c>
      <c r="I29" s="3">
        <v>20</v>
      </c>
      <c r="J29" s="3">
        <f t="shared" si="1"/>
        <v>64000</v>
      </c>
      <c r="K29" s="3">
        <f t="shared" si="2"/>
        <v>6400</v>
      </c>
      <c r="L29" t="str">
        <f t="shared" si="0"/>
        <v>no</v>
      </c>
      <c r="M29" t="str">
        <f t="shared" si="3"/>
        <v>NO</v>
      </c>
      <c r="N29" t="str">
        <f t="shared" si="4"/>
        <v>no</v>
      </c>
      <c r="O29" t="str">
        <f t="shared" si="5"/>
        <v>FALSE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5BCB-231A-43A3-A39F-692EC926204F}">
  <dimension ref="A3:D69"/>
  <sheetViews>
    <sheetView workbookViewId="0">
      <selection activeCell="A3" sqref="A3:B8"/>
    </sheetView>
  </sheetViews>
  <sheetFormatPr defaultRowHeight="14.4" x14ac:dyDescent="0.3"/>
  <cols>
    <col min="1" max="1" width="12.5546875" bestFit="1" customWidth="1"/>
    <col min="2" max="4" width="15.6640625" bestFit="1" customWidth="1"/>
    <col min="5" max="6" width="10.77734375" bestFit="1" customWidth="1"/>
    <col min="7" max="7" width="10.44140625" bestFit="1" customWidth="1"/>
    <col min="8" max="8" width="14.44140625" bestFit="1" customWidth="1"/>
    <col min="9" max="9" width="10.44140625" bestFit="1" customWidth="1"/>
    <col min="10" max="10" width="19.21875" bestFit="1" customWidth="1"/>
    <col min="11" max="11" width="15.21875" bestFit="1" customWidth="1"/>
  </cols>
  <sheetData>
    <row r="3" spans="1:2" x14ac:dyDescent="0.3">
      <c r="A3" s="9" t="s">
        <v>116</v>
      </c>
      <c r="B3" t="s">
        <v>118</v>
      </c>
    </row>
    <row r="4" spans="1:2" x14ac:dyDescent="0.3">
      <c r="A4" s="10" t="s">
        <v>12</v>
      </c>
      <c r="B4">
        <v>318940</v>
      </c>
    </row>
    <row r="5" spans="1:2" x14ac:dyDescent="0.3">
      <c r="A5" s="10" t="s">
        <v>22</v>
      </c>
      <c r="B5">
        <v>205700</v>
      </c>
    </row>
    <row r="6" spans="1:2" x14ac:dyDescent="0.3">
      <c r="A6" s="10" t="s">
        <v>35</v>
      </c>
      <c r="B6">
        <v>59000</v>
      </c>
    </row>
    <row r="7" spans="1:2" x14ac:dyDescent="0.3">
      <c r="A7" s="10" t="s">
        <v>17</v>
      </c>
      <c r="B7">
        <v>197000</v>
      </c>
    </row>
    <row r="8" spans="1:2" x14ac:dyDescent="0.3">
      <c r="A8" s="10" t="s">
        <v>117</v>
      </c>
      <c r="B8">
        <v>780640</v>
      </c>
    </row>
    <row r="17" spans="1:2" x14ac:dyDescent="0.3">
      <c r="A17" s="9" t="s">
        <v>116</v>
      </c>
      <c r="B17" t="s">
        <v>120</v>
      </c>
    </row>
    <row r="18" spans="1:2" x14ac:dyDescent="0.3">
      <c r="A18" s="10" t="s">
        <v>44</v>
      </c>
      <c r="B18">
        <v>14</v>
      </c>
    </row>
    <row r="19" spans="1:2" x14ac:dyDescent="0.3">
      <c r="A19" s="10" t="s">
        <v>33</v>
      </c>
      <c r="B19">
        <v>23</v>
      </c>
    </row>
    <row r="20" spans="1:2" x14ac:dyDescent="0.3">
      <c r="A20" s="10" t="s">
        <v>20</v>
      </c>
      <c r="B20">
        <v>30</v>
      </c>
    </row>
    <row r="21" spans="1:2" x14ac:dyDescent="0.3">
      <c r="A21" s="10" t="s">
        <v>15</v>
      </c>
      <c r="B21">
        <v>68</v>
      </c>
    </row>
    <row r="22" spans="1:2" x14ac:dyDescent="0.3">
      <c r="A22" s="10" t="s">
        <v>25</v>
      </c>
      <c r="B22">
        <v>67</v>
      </c>
    </row>
    <row r="23" spans="1:2" x14ac:dyDescent="0.3">
      <c r="A23" s="10" t="s">
        <v>41</v>
      </c>
      <c r="B23">
        <v>76</v>
      </c>
    </row>
    <row r="24" spans="1:2" x14ac:dyDescent="0.3">
      <c r="A24" s="10" t="s">
        <v>29</v>
      </c>
      <c r="B24">
        <v>34</v>
      </c>
    </row>
    <row r="25" spans="1:2" x14ac:dyDescent="0.3">
      <c r="A25" s="10" t="s">
        <v>117</v>
      </c>
      <c r="B25">
        <v>312</v>
      </c>
    </row>
    <row r="30" spans="1:2" x14ac:dyDescent="0.3">
      <c r="A30" s="9" t="s">
        <v>116</v>
      </c>
      <c r="B30" t="s">
        <v>119</v>
      </c>
    </row>
    <row r="31" spans="1:2" x14ac:dyDescent="0.3">
      <c r="A31" s="10" t="s">
        <v>12</v>
      </c>
      <c r="B31">
        <v>31894</v>
      </c>
    </row>
    <row r="32" spans="1:2" x14ac:dyDescent="0.3">
      <c r="A32" s="10" t="s">
        <v>22</v>
      </c>
      <c r="B32">
        <v>20570</v>
      </c>
    </row>
    <row r="33" spans="1:2" x14ac:dyDescent="0.3">
      <c r="A33" s="10" t="s">
        <v>35</v>
      </c>
      <c r="B33">
        <v>5900</v>
      </c>
    </row>
    <row r="34" spans="1:2" x14ac:dyDescent="0.3">
      <c r="A34" s="10" t="s">
        <v>17</v>
      </c>
      <c r="B34">
        <v>19700</v>
      </c>
    </row>
    <row r="35" spans="1:2" x14ac:dyDescent="0.3">
      <c r="A35" s="10" t="s">
        <v>117</v>
      </c>
      <c r="B35">
        <v>78064</v>
      </c>
    </row>
    <row r="42" spans="1:2" x14ac:dyDescent="0.3">
      <c r="A42" s="9" t="s">
        <v>116</v>
      </c>
      <c r="B42" t="s">
        <v>119</v>
      </c>
    </row>
    <row r="43" spans="1:2" x14ac:dyDescent="0.3">
      <c r="A43" s="10" t="s">
        <v>24</v>
      </c>
      <c r="B43">
        <v>35720</v>
      </c>
    </row>
    <row r="44" spans="1:2" x14ac:dyDescent="0.3">
      <c r="A44" s="10" t="s">
        <v>14</v>
      </c>
      <c r="B44">
        <v>11844</v>
      </c>
    </row>
    <row r="45" spans="1:2" x14ac:dyDescent="0.3">
      <c r="A45" s="10" t="s">
        <v>19</v>
      </c>
      <c r="B45">
        <v>12700</v>
      </c>
    </row>
    <row r="46" spans="1:2" x14ac:dyDescent="0.3">
      <c r="A46" s="10" t="s">
        <v>32</v>
      </c>
      <c r="B46">
        <v>7650</v>
      </c>
    </row>
    <row r="47" spans="1:2" x14ac:dyDescent="0.3">
      <c r="A47" s="10" t="s">
        <v>28</v>
      </c>
      <c r="B47">
        <v>10150</v>
      </c>
    </row>
    <row r="48" spans="1:2" x14ac:dyDescent="0.3">
      <c r="A48" s="10" t="s">
        <v>117</v>
      </c>
      <c r="B48">
        <v>78064</v>
      </c>
    </row>
    <row r="56" spans="1:4" x14ac:dyDescent="0.3">
      <c r="A56" t="s">
        <v>120</v>
      </c>
    </row>
    <row r="57" spans="1:4" x14ac:dyDescent="0.3">
      <c r="A57">
        <v>312</v>
      </c>
      <c r="D57">
        <f>GETPIVOTDATA("Qty",$A$56)</f>
        <v>312</v>
      </c>
    </row>
    <row r="60" spans="1:4" x14ac:dyDescent="0.3">
      <c r="A60" t="s">
        <v>118</v>
      </c>
    </row>
    <row r="61" spans="1:4" x14ac:dyDescent="0.3">
      <c r="A61">
        <v>780640</v>
      </c>
      <c r="D61">
        <f>GETPIVOTDATA("Amount",$A$60)</f>
        <v>780640</v>
      </c>
    </row>
    <row r="64" spans="1:4" x14ac:dyDescent="0.3">
      <c r="A64" t="s">
        <v>119</v>
      </c>
    </row>
    <row r="65" spans="1:4" x14ac:dyDescent="0.3">
      <c r="A65">
        <v>78064</v>
      </c>
      <c r="D65">
        <f>GETPIVOTDATA("Profit10%",$A$64)</f>
        <v>78064</v>
      </c>
    </row>
    <row r="68" spans="1:4" x14ac:dyDescent="0.3">
      <c r="A68" t="s">
        <v>121</v>
      </c>
    </row>
    <row r="69" spans="1:4" x14ac:dyDescent="0.3">
      <c r="A69">
        <v>75320</v>
      </c>
      <c r="D69">
        <f>GETPIVOTDATA("Price",$A$68)</f>
        <v>75320</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54AC-D72D-47A3-97E9-302B811CFBB9}">
  <dimension ref="A1:R40"/>
  <sheetViews>
    <sheetView tabSelected="1" zoomScale="68" zoomScaleNormal="68" workbookViewId="0">
      <selection activeCell="U28" sqref="U28"/>
    </sheetView>
  </sheetViews>
  <sheetFormatPr defaultRowHeight="14.4" x14ac:dyDescent="0.3"/>
  <cols>
    <col min="1" max="16384" width="8.88671875" style="11"/>
  </cols>
  <sheetData>
    <row r="1" spans="1:18" x14ac:dyDescent="0.3">
      <c r="A1" s="12"/>
      <c r="B1" s="13"/>
      <c r="C1" s="13"/>
      <c r="D1" s="13"/>
      <c r="E1" s="13"/>
      <c r="F1" s="13"/>
      <c r="G1" s="13"/>
      <c r="H1" s="13"/>
      <c r="I1" s="13"/>
      <c r="J1" s="13"/>
      <c r="K1" s="13"/>
      <c r="L1" s="13"/>
      <c r="M1" s="13"/>
      <c r="N1" s="13"/>
      <c r="O1" s="13"/>
      <c r="P1" s="13"/>
      <c r="Q1" s="13"/>
      <c r="R1" s="14"/>
    </row>
    <row r="2" spans="1:18" ht="15" thickBot="1" x14ac:dyDescent="0.35">
      <c r="A2" s="15"/>
      <c r="B2" s="16"/>
      <c r="C2" s="16"/>
      <c r="D2" s="16"/>
      <c r="E2" s="16"/>
      <c r="F2" s="16"/>
      <c r="G2" s="16"/>
      <c r="H2" s="16"/>
      <c r="I2" s="16"/>
      <c r="J2" s="16"/>
      <c r="K2" s="16"/>
      <c r="L2" s="16"/>
      <c r="M2" s="16"/>
      <c r="N2" s="16"/>
      <c r="O2" s="16"/>
      <c r="P2" s="16"/>
      <c r="Q2" s="16"/>
      <c r="R2" s="17"/>
    </row>
    <row r="3" spans="1:18" ht="61.8" thickBot="1" x14ac:dyDescent="1.1499999999999999">
      <c r="A3" s="15"/>
      <c r="B3" s="21" t="s">
        <v>122</v>
      </c>
      <c r="C3" s="22"/>
      <c r="D3" s="22"/>
      <c r="E3" s="22"/>
      <c r="F3" s="22"/>
      <c r="G3" s="22"/>
      <c r="H3" s="22"/>
      <c r="I3" s="22"/>
      <c r="J3" s="22"/>
      <c r="K3" s="22"/>
      <c r="L3" s="22"/>
      <c r="M3" s="22"/>
      <c r="N3" s="22"/>
      <c r="O3" s="22"/>
      <c r="P3" s="23" t="s">
        <v>123</v>
      </c>
      <c r="Q3" s="16"/>
      <c r="R3" s="17"/>
    </row>
    <row r="4" spans="1:18" x14ac:dyDescent="0.3">
      <c r="A4" s="15"/>
      <c r="B4" s="16"/>
      <c r="C4" s="16"/>
      <c r="D4" s="16"/>
      <c r="E4" s="16"/>
      <c r="F4" s="16"/>
      <c r="G4" s="16"/>
      <c r="H4" s="16"/>
      <c r="I4" s="16"/>
      <c r="J4" s="16"/>
      <c r="K4" s="16"/>
      <c r="L4" s="16"/>
      <c r="M4" s="16"/>
      <c r="N4" s="16"/>
      <c r="O4" s="16"/>
      <c r="P4" s="16"/>
      <c r="Q4" s="16"/>
      <c r="R4" s="17"/>
    </row>
    <row r="5" spans="1:18" x14ac:dyDescent="0.3">
      <c r="A5" s="15"/>
      <c r="B5" s="16"/>
      <c r="C5" s="16"/>
      <c r="D5" s="16"/>
      <c r="E5" s="16"/>
      <c r="F5" s="16"/>
      <c r="G5" s="16"/>
      <c r="H5" s="16"/>
      <c r="I5" s="16"/>
      <c r="J5" s="16"/>
      <c r="K5" s="16"/>
      <c r="L5" s="16"/>
      <c r="M5" s="16"/>
      <c r="N5" s="16"/>
      <c r="O5" s="16"/>
      <c r="P5" s="16"/>
      <c r="Q5" s="16"/>
      <c r="R5" s="17"/>
    </row>
    <row r="6" spans="1:18" x14ac:dyDescent="0.3">
      <c r="A6" s="15"/>
      <c r="B6" s="16"/>
      <c r="C6" s="16"/>
      <c r="D6" s="16"/>
      <c r="E6" s="16"/>
      <c r="F6" s="16"/>
      <c r="G6" s="16"/>
      <c r="H6" s="16"/>
      <c r="I6" s="16"/>
      <c r="J6" s="16"/>
      <c r="K6" s="16"/>
      <c r="L6" s="16"/>
      <c r="M6" s="16"/>
      <c r="N6" s="16"/>
      <c r="O6" s="16"/>
      <c r="P6" s="16"/>
      <c r="Q6" s="16"/>
      <c r="R6" s="17"/>
    </row>
    <row r="7" spans="1:18" x14ac:dyDescent="0.3">
      <c r="A7" s="15"/>
      <c r="B7" s="16"/>
      <c r="C7" s="16"/>
      <c r="D7" s="16"/>
      <c r="E7" s="16"/>
      <c r="F7" s="16"/>
      <c r="G7" s="16"/>
      <c r="H7" s="16"/>
      <c r="I7" s="16"/>
      <c r="J7" s="16"/>
      <c r="K7" s="16"/>
      <c r="L7" s="16"/>
      <c r="M7" s="16"/>
      <c r="N7" s="16"/>
      <c r="O7" s="16"/>
      <c r="P7" s="16"/>
      <c r="Q7" s="16"/>
      <c r="R7" s="17"/>
    </row>
    <row r="8" spans="1:18" x14ac:dyDescent="0.3">
      <c r="A8" s="15"/>
      <c r="B8" s="16"/>
      <c r="C8" s="16"/>
      <c r="D8" s="16"/>
      <c r="E8" s="16"/>
      <c r="F8" s="16"/>
      <c r="G8" s="16"/>
      <c r="H8" s="16"/>
      <c r="I8" s="16"/>
      <c r="J8" s="16"/>
      <c r="K8" s="16"/>
      <c r="L8" s="16"/>
      <c r="M8" s="16"/>
      <c r="N8" s="16"/>
      <c r="O8" s="16"/>
      <c r="P8" s="16"/>
      <c r="Q8" s="16"/>
      <c r="R8" s="17"/>
    </row>
    <row r="9" spans="1:18" x14ac:dyDescent="0.3">
      <c r="A9" s="15"/>
      <c r="B9" s="16"/>
      <c r="C9" s="16"/>
      <c r="D9" s="16"/>
      <c r="E9" s="16"/>
      <c r="F9" s="16"/>
      <c r="G9" s="16"/>
      <c r="H9" s="16"/>
      <c r="I9" s="16"/>
      <c r="J9" s="16"/>
      <c r="K9" s="16"/>
      <c r="L9" s="16"/>
      <c r="M9" s="16"/>
      <c r="N9" s="16"/>
      <c r="O9" s="16"/>
      <c r="P9" s="16"/>
      <c r="Q9" s="16"/>
      <c r="R9" s="17"/>
    </row>
    <row r="10" spans="1:18" x14ac:dyDescent="0.3">
      <c r="A10" s="15"/>
      <c r="B10" s="16"/>
      <c r="C10" s="16"/>
      <c r="D10" s="16"/>
      <c r="E10" s="16"/>
      <c r="F10" s="16"/>
      <c r="G10" s="16"/>
      <c r="H10" s="16"/>
      <c r="I10" s="16"/>
      <c r="J10" s="16"/>
      <c r="K10" s="16"/>
      <c r="L10" s="16"/>
      <c r="M10" s="16"/>
      <c r="N10" s="16"/>
      <c r="O10" s="16"/>
      <c r="P10" s="16"/>
      <c r="Q10" s="16"/>
      <c r="R10" s="17"/>
    </row>
    <row r="11" spans="1:18" x14ac:dyDescent="0.3">
      <c r="A11" s="15"/>
      <c r="B11" s="16"/>
      <c r="C11" s="16"/>
      <c r="D11" s="16"/>
      <c r="E11" s="16"/>
      <c r="F11" s="16"/>
      <c r="G11" s="16"/>
      <c r="H11" s="16"/>
      <c r="I11" s="16"/>
      <c r="J11" s="16"/>
      <c r="K11" s="16"/>
      <c r="L11" s="16"/>
      <c r="M11" s="16"/>
      <c r="N11" s="16"/>
      <c r="O11" s="16"/>
      <c r="P11" s="16"/>
      <c r="Q11" s="16"/>
      <c r="R11" s="17"/>
    </row>
    <row r="12" spans="1:18" x14ac:dyDescent="0.3">
      <c r="A12" s="15"/>
      <c r="B12" s="16"/>
      <c r="C12" s="16"/>
      <c r="D12" s="16"/>
      <c r="E12" s="16"/>
      <c r="F12" s="16"/>
      <c r="G12" s="16"/>
      <c r="H12" s="16"/>
      <c r="I12" s="16"/>
      <c r="J12" s="16"/>
      <c r="K12" s="16"/>
      <c r="L12" s="16"/>
      <c r="M12" s="16"/>
      <c r="N12" s="16"/>
      <c r="O12" s="16"/>
      <c r="P12" s="16"/>
      <c r="Q12" s="16"/>
      <c r="R12" s="17"/>
    </row>
    <row r="13" spans="1:18" x14ac:dyDescent="0.3">
      <c r="A13" s="15"/>
      <c r="B13" s="16"/>
      <c r="C13" s="16"/>
      <c r="D13" s="16"/>
      <c r="E13" s="16"/>
      <c r="F13" s="16"/>
      <c r="G13" s="16"/>
      <c r="H13" s="16"/>
      <c r="I13" s="16"/>
      <c r="J13" s="16"/>
      <c r="K13" s="16"/>
      <c r="L13" s="16"/>
      <c r="M13" s="16"/>
      <c r="N13" s="16"/>
      <c r="O13" s="16"/>
      <c r="P13" s="16"/>
      <c r="Q13" s="16"/>
      <c r="R13" s="17"/>
    </row>
    <row r="14" spans="1:18" x14ac:dyDescent="0.3">
      <c r="A14" s="15"/>
      <c r="B14" s="16"/>
      <c r="C14" s="16"/>
      <c r="D14" s="16"/>
      <c r="E14" s="16"/>
      <c r="F14" s="16"/>
      <c r="G14" s="16"/>
      <c r="H14" s="16"/>
      <c r="I14" s="16"/>
      <c r="J14" s="16"/>
      <c r="K14" s="16"/>
      <c r="L14" s="16"/>
      <c r="M14" s="16"/>
      <c r="N14" s="16"/>
      <c r="O14" s="16"/>
      <c r="P14" s="16"/>
      <c r="Q14" s="16"/>
      <c r="R14" s="17"/>
    </row>
    <row r="15" spans="1:18" x14ac:dyDescent="0.3">
      <c r="A15" s="15"/>
      <c r="B15" s="16"/>
      <c r="C15" s="16"/>
      <c r="D15" s="16"/>
      <c r="E15" s="16"/>
      <c r="F15" s="16"/>
      <c r="G15" s="16"/>
      <c r="H15" s="16"/>
      <c r="I15" s="16"/>
      <c r="J15" s="16"/>
      <c r="K15" s="16"/>
      <c r="L15" s="16"/>
      <c r="M15" s="16"/>
      <c r="N15" s="16"/>
      <c r="O15" s="16"/>
      <c r="P15" s="16"/>
      <c r="Q15" s="16"/>
      <c r="R15" s="17"/>
    </row>
    <row r="16" spans="1:18" x14ac:dyDescent="0.3">
      <c r="A16" s="15"/>
      <c r="B16" s="16"/>
      <c r="C16" s="16"/>
      <c r="D16" s="16"/>
      <c r="E16" s="16"/>
      <c r="F16" s="16"/>
      <c r="G16" s="16"/>
      <c r="H16" s="16"/>
      <c r="I16" s="16"/>
      <c r="J16" s="16"/>
      <c r="K16" s="16"/>
      <c r="L16" s="16"/>
      <c r="M16" s="16"/>
      <c r="N16" s="16"/>
      <c r="O16" s="16"/>
      <c r="P16" s="16"/>
      <c r="Q16" s="16"/>
      <c r="R16" s="17"/>
    </row>
    <row r="17" spans="1:18" x14ac:dyDescent="0.3">
      <c r="A17" s="15"/>
      <c r="B17" s="16"/>
      <c r="C17" s="16"/>
      <c r="D17" s="16"/>
      <c r="E17" s="16"/>
      <c r="F17" s="16"/>
      <c r="G17" s="16"/>
      <c r="H17" s="16"/>
      <c r="I17" s="16"/>
      <c r="J17" s="16"/>
      <c r="K17" s="16"/>
      <c r="L17" s="16"/>
      <c r="M17" s="16"/>
      <c r="N17" s="16"/>
      <c r="O17" s="16"/>
      <c r="P17" s="16"/>
      <c r="Q17" s="16"/>
      <c r="R17" s="17"/>
    </row>
    <row r="18" spans="1:18" x14ac:dyDescent="0.3">
      <c r="A18" s="15"/>
      <c r="B18" s="16"/>
      <c r="C18" s="16"/>
      <c r="D18" s="16"/>
      <c r="E18" s="16"/>
      <c r="F18" s="16"/>
      <c r="G18" s="16"/>
      <c r="H18" s="16"/>
      <c r="I18" s="16"/>
      <c r="J18" s="16"/>
      <c r="K18" s="16"/>
      <c r="L18" s="16"/>
      <c r="M18" s="16"/>
      <c r="N18" s="16"/>
      <c r="O18" s="16"/>
      <c r="P18" s="16"/>
      <c r="Q18" s="16"/>
      <c r="R18" s="17"/>
    </row>
    <row r="19" spans="1:18" x14ac:dyDescent="0.3">
      <c r="A19" s="15"/>
      <c r="B19" s="16"/>
      <c r="C19" s="16"/>
      <c r="D19" s="16"/>
      <c r="E19" s="16"/>
      <c r="F19" s="16"/>
      <c r="G19" s="16"/>
      <c r="H19" s="16"/>
      <c r="I19" s="16"/>
      <c r="J19" s="16"/>
      <c r="K19" s="16"/>
      <c r="L19" s="16"/>
      <c r="M19" s="16"/>
      <c r="N19" s="16"/>
      <c r="O19" s="16"/>
      <c r="P19" s="16"/>
      <c r="Q19" s="16"/>
      <c r="R19" s="17"/>
    </row>
    <row r="20" spans="1:18" x14ac:dyDescent="0.3">
      <c r="A20" s="15"/>
      <c r="B20" s="16"/>
      <c r="C20" s="16"/>
      <c r="D20" s="16"/>
      <c r="E20" s="16"/>
      <c r="F20" s="16"/>
      <c r="G20" s="16"/>
      <c r="H20" s="16"/>
      <c r="I20" s="16"/>
      <c r="J20" s="16"/>
      <c r="K20" s="16"/>
      <c r="L20" s="16"/>
      <c r="M20" s="16"/>
      <c r="N20" s="16"/>
      <c r="O20" s="16"/>
      <c r="P20" s="16"/>
      <c r="Q20" s="16"/>
      <c r="R20" s="17"/>
    </row>
    <row r="21" spans="1:18" x14ac:dyDescent="0.3">
      <c r="A21" s="15"/>
      <c r="B21" s="16"/>
      <c r="C21" s="16"/>
      <c r="D21" s="16"/>
      <c r="E21" s="16"/>
      <c r="F21" s="16"/>
      <c r="G21" s="16"/>
      <c r="H21" s="16"/>
      <c r="I21" s="16"/>
      <c r="J21" s="16"/>
      <c r="K21" s="16"/>
      <c r="L21" s="16"/>
      <c r="M21" s="16"/>
      <c r="N21" s="16"/>
      <c r="O21" s="16"/>
      <c r="P21" s="16"/>
      <c r="Q21" s="16"/>
      <c r="R21" s="17"/>
    </row>
    <row r="22" spans="1:18" x14ac:dyDescent="0.3">
      <c r="A22" s="15"/>
      <c r="B22" s="16"/>
      <c r="C22" s="16"/>
      <c r="D22" s="16"/>
      <c r="E22" s="16"/>
      <c r="F22" s="16"/>
      <c r="G22" s="16"/>
      <c r="H22" s="16"/>
      <c r="I22" s="16"/>
      <c r="J22" s="16"/>
      <c r="K22" s="16"/>
      <c r="L22" s="16"/>
      <c r="M22" s="16"/>
      <c r="N22" s="16"/>
      <c r="O22" s="16"/>
      <c r="P22" s="16"/>
      <c r="Q22" s="16"/>
      <c r="R22" s="17"/>
    </row>
    <row r="23" spans="1:18" x14ac:dyDescent="0.3">
      <c r="A23" s="15"/>
      <c r="B23" s="16"/>
      <c r="C23" s="16"/>
      <c r="D23" s="16"/>
      <c r="E23" s="16"/>
      <c r="F23" s="16"/>
      <c r="G23" s="16"/>
      <c r="H23" s="16"/>
      <c r="I23" s="16"/>
      <c r="J23" s="16"/>
      <c r="K23" s="16"/>
      <c r="L23" s="16"/>
      <c r="M23" s="16"/>
      <c r="N23" s="16"/>
      <c r="O23" s="16"/>
      <c r="P23" s="16"/>
      <c r="Q23" s="16"/>
      <c r="R23" s="17"/>
    </row>
    <row r="24" spans="1:18" x14ac:dyDescent="0.3">
      <c r="A24" s="15"/>
      <c r="B24" s="16"/>
      <c r="C24" s="16"/>
      <c r="D24" s="16"/>
      <c r="E24" s="16"/>
      <c r="F24" s="16"/>
      <c r="G24" s="16"/>
      <c r="H24" s="16"/>
      <c r="I24" s="16"/>
      <c r="J24" s="16"/>
      <c r="K24" s="16"/>
      <c r="L24" s="16"/>
      <c r="M24" s="16"/>
      <c r="N24" s="16"/>
      <c r="O24" s="16"/>
      <c r="P24" s="16"/>
      <c r="Q24" s="16"/>
      <c r="R24" s="17"/>
    </row>
    <row r="25" spans="1:18" x14ac:dyDescent="0.3">
      <c r="A25" s="15"/>
      <c r="B25" s="16"/>
      <c r="C25" s="16"/>
      <c r="D25" s="16"/>
      <c r="E25" s="16"/>
      <c r="F25" s="16"/>
      <c r="G25" s="16"/>
      <c r="H25" s="16"/>
      <c r="I25" s="16"/>
      <c r="J25" s="16"/>
      <c r="K25" s="16"/>
      <c r="L25" s="16"/>
      <c r="M25" s="16"/>
      <c r="N25" s="16"/>
      <c r="O25" s="16"/>
      <c r="P25" s="16"/>
      <c r="Q25" s="16"/>
      <c r="R25" s="17"/>
    </row>
    <row r="26" spans="1:18" x14ac:dyDescent="0.3">
      <c r="A26" s="15"/>
      <c r="B26" s="16"/>
      <c r="C26" s="16"/>
      <c r="D26" s="16"/>
      <c r="E26" s="16"/>
      <c r="F26" s="16"/>
      <c r="G26" s="16"/>
      <c r="H26" s="16"/>
      <c r="I26" s="16"/>
      <c r="J26" s="16"/>
      <c r="K26" s="16"/>
      <c r="L26" s="16"/>
      <c r="M26" s="16"/>
      <c r="N26" s="16"/>
      <c r="O26" s="16"/>
      <c r="P26" s="16"/>
      <c r="Q26" s="16"/>
      <c r="R26" s="17"/>
    </row>
    <row r="27" spans="1:18" x14ac:dyDescent="0.3">
      <c r="A27" s="15"/>
      <c r="B27" s="16"/>
      <c r="C27" s="16"/>
      <c r="D27" s="16"/>
      <c r="E27" s="16"/>
      <c r="F27" s="16"/>
      <c r="G27" s="16"/>
      <c r="H27" s="16"/>
      <c r="I27" s="16"/>
      <c r="J27" s="16"/>
      <c r="K27" s="16"/>
      <c r="L27" s="16"/>
      <c r="M27" s="16"/>
      <c r="N27" s="16"/>
      <c r="O27" s="16"/>
      <c r="P27" s="16"/>
      <c r="Q27" s="16"/>
      <c r="R27" s="17"/>
    </row>
    <row r="28" spans="1:18" x14ac:dyDescent="0.3">
      <c r="A28" s="15"/>
      <c r="B28" s="16"/>
      <c r="C28" s="16"/>
      <c r="D28" s="16"/>
      <c r="E28" s="16"/>
      <c r="F28" s="16"/>
      <c r="G28" s="16"/>
      <c r="H28" s="16"/>
      <c r="I28" s="16"/>
      <c r="J28" s="16"/>
      <c r="K28" s="16"/>
      <c r="L28" s="16"/>
      <c r="M28" s="16"/>
      <c r="N28" s="16"/>
      <c r="O28" s="16"/>
      <c r="P28" s="16"/>
      <c r="Q28" s="16"/>
      <c r="R28" s="17"/>
    </row>
    <row r="29" spans="1:18" x14ac:dyDescent="0.3">
      <c r="A29" s="15"/>
      <c r="B29" s="16"/>
      <c r="C29" s="16"/>
      <c r="D29" s="16"/>
      <c r="E29" s="16"/>
      <c r="F29" s="16"/>
      <c r="G29" s="16"/>
      <c r="H29" s="16"/>
      <c r="I29" s="16"/>
      <c r="J29" s="16"/>
      <c r="K29" s="16"/>
      <c r="L29" s="16"/>
      <c r="M29" s="16"/>
      <c r="N29" s="16"/>
      <c r="O29" s="16"/>
      <c r="P29" s="16"/>
      <c r="Q29" s="16"/>
      <c r="R29" s="17"/>
    </row>
    <row r="30" spans="1:18" x14ac:dyDescent="0.3">
      <c r="A30" s="15"/>
      <c r="B30" s="16"/>
      <c r="C30" s="16"/>
      <c r="D30" s="16"/>
      <c r="E30" s="16"/>
      <c r="F30" s="16"/>
      <c r="G30" s="16"/>
      <c r="H30" s="16"/>
      <c r="I30" s="16"/>
      <c r="J30" s="16"/>
      <c r="K30" s="16"/>
      <c r="L30" s="16"/>
      <c r="M30" s="16"/>
      <c r="N30" s="16"/>
      <c r="O30" s="16"/>
      <c r="P30" s="16"/>
      <c r="Q30" s="16"/>
      <c r="R30" s="17"/>
    </row>
    <row r="31" spans="1:18" x14ac:dyDescent="0.3">
      <c r="A31" s="15"/>
      <c r="B31" s="16"/>
      <c r="C31" s="16"/>
      <c r="D31" s="16"/>
      <c r="E31" s="16"/>
      <c r="F31" s="16"/>
      <c r="G31" s="16"/>
      <c r="H31" s="16"/>
      <c r="I31" s="16"/>
      <c r="J31" s="16"/>
      <c r="K31" s="16"/>
      <c r="L31" s="16"/>
      <c r="M31" s="16"/>
      <c r="N31" s="16"/>
      <c r="O31" s="16"/>
      <c r="P31" s="16"/>
      <c r="Q31" s="16"/>
      <c r="R31" s="17"/>
    </row>
    <row r="32" spans="1:18" x14ac:dyDescent="0.3">
      <c r="A32" s="15"/>
      <c r="B32" s="16"/>
      <c r="C32" s="16"/>
      <c r="D32" s="16"/>
      <c r="E32" s="16"/>
      <c r="F32" s="16"/>
      <c r="G32" s="16"/>
      <c r="H32" s="16"/>
      <c r="I32" s="16"/>
      <c r="J32" s="16"/>
      <c r="K32" s="16"/>
      <c r="L32" s="16"/>
      <c r="M32" s="16"/>
      <c r="N32" s="16"/>
      <c r="O32" s="16"/>
      <c r="P32" s="16"/>
      <c r="Q32" s="16"/>
      <c r="R32" s="17"/>
    </row>
    <row r="33" spans="1:18" x14ac:dyDescent="0.3">
      <c r="A33" s="15"/>
      <c r="B33" s="16"/>
      <c r="C33" s="16"/>
      <c r="D33" s="16"/>
      <c r="E33" s="16"/>
      <c r="F33" s="16"/>
      <c r="G33" s="16"/>
      <c r="H33" s="16"/>
      <c r="I33" s="16"/>
      <c r="J33" s="16"/>
      <c r="K33" s="16"/>
      <c r="L33" s="16"/>
      <c r="M33" s="16"/>
      <c r="N33" s="16"/>
      <c r="O33" s="16"/>
      <c r="P33" s="16"/>
      <c r="Q33" s="16"/>
      <c r="R33" s="17"/>
    </row>
    <row r="34" spans="1:18" x14ac:dyDescent="0.3">
      <c r="A34" s="15"/>
      <c r="B34" s="16"/>
      <c r="C34" s="16"/>
      <c r="D34" s="16"/>
      <c r="E34" s="16"/>
      <c r="F34" s="16"/>
      <c r="G34" s="16"/>
      <c r="H34" s="16"/>
      <c r="I34" s="16"/>
      <c r="J34" s="16"/>
      <c r="K34" s="16"/>
      <c r="L34" s="16"/>
      <c r="M34" s="16"/>
      <c r="N34" s="16"/>
      <c r="O34" s="16"/>
      <c r="P34" s="16"/>
      <c r="Q34" s="16"/>
      <c r="R34" s="17"/>
    </row>
    <row r="35" spans="1:18" x14ac:dyDescent="0.3">
      <c r="A35" s="15"/>
      <c r="B35" s="16"/>
      <c r="C35" s="16"/>
      <c r="D35" s="16"/>
      <c r="E35" s="16"/>
      <c r="F35" s="16"/>
      <c r="G35" s="16"/>
      <c r="H35" s="16"/>
      <c r="I35" s="16"/>
      <c r="J35" s="16"/>
      <c r="K35" s="16"/>
      <c r="L35" s="16"/>
      <c r="M35" s="16"/>
      <c r="N35" s="16"/>
      <c r="O35" s="16"/>
      <c r="P35" s="16"/>
      <c r="Q35" s="16"/>
      <c r="R35" s="17"/>
    </row>
    <row r="36" spans="1:18" x14ac:dyDescent="0.3">
      <c r="A36" s="15"/>
      <c r="B36" s="16"/>
      <c r="C36" s="16"/>
      <c r="D36" s="16"/>
      <c r="E36" s="16"/>
      <c r="F36" s="16"/>
      <c r="G36" s="16"/>
      <c r="H36" s="16"/>
      <c r="I36" s="16"/>
      <c r="J36" s="16"/>
      <c r="K36" s="16"/>
      <c r="L36" s="16"/>
      <c r="M36" s="16"/>
      <c r="N36" s="16"/>
      <c r="O36" s="16"/>
      <c r="P36" s="16"/>
      <c r="Q36" s="16"/>
      <c r="R36" s="17"/>
    </row>
    <row r="37" spans="1:18" x14ac:dyDescent="0.3">
      <c r="A37" s="15"/>
      <c r="B37" s="16"/>
      <c r="C37" s="16"/>
      <c r="D37" s="16"/>
      <c r="E37" s="16"/>
      <c r="F37" s="16"/>
      <c r="G37" s="16"/>
      <c r="H37" s="16"/>
      <c r="I37" s="16"/>
      <c r="J37" s="16"/>
      <c r="K37" s="16"/>
      <c r="L37" s="16"/>
      <c r="M37" s="16"/>
      <c r="N37" s="16"/>
      <c r="O37" s="16"/>
      <c r="P37" s="16"/>
      <c r="Q37" s="16"/>
      <c r="R37" s="17"/>
    </row>
    <row r="38" spans="1:18" x14ac:dyDescent="0.3">
      <c r="A38" s="15"/>
      <c r="B38" s="16"/>
      <c r="C38" s="16"/>
      <c r="D38" s="16"/>
      <c r="E38" s="16"/>
      <c r="F38" s="16"/>
      <c r="G38" s="16"/>
      <c r="H38" s="16"/>
      <c r="I38" s="16"/>
      <c r="J38" s="16"/>
      <c r="K38" s="16"/>
      <c r="L38" s="16"/>
      <c r="M38" s="16"/>
      <c r="N38" s="16"/>
      <c r="O38" s="16"/>
      <c r="P38" s="16"/>
      <c r="Q38" s="16"/>
      <c r="R38" s="17"/>
    </row>
    <row r="39" spans="1:18" x14ac:dyDescent="0.3">
      <c r="A39" s="15"/>
      <c r="B39" s="16"/>
      <c r="C39" s="16"/>
      <c r="D39" s="16"/>
      <c r="E39" s="16"/>
      <c r="F39" s="16"/>
      <c r="G39" s="16"/>
      <c r="H39" s="16"/>
      <c r="I39" s="16"/>
      <c r="J39" s="16"/>
      <c r="K39" s="16"/>
      <c r="L39" s="16"/>
      <c r="M39" s="16"/>
      <c r="N39" s="16"/>
      <c r="O39" s="16"/>
      <c r="P39" s="16"/>
      <c r="Q39" s="16"/>
      <c r="R39" s="17"/>
    </row>
    <row r="40" spans="1:18" ht="15" thickBot="1" x14ac:dyDescent="0.35">
      <c r="A40" s="18"/>
      <c r="B40" s="19"/>
      <c r="C40" s="19"/>
      <c r="D40" s="19"/>
      <c r="E40" s="19"/>
      <c r="F40" s="19"/>
      <c r="G40" s="19"/>
      <c r="H40" s="19"/>
      <c r="I40" s="19"/>
      <c r="J40" s="19"/>
      <c r="K40" s="19"/>
      <c r="L40" s="19"/>
      <c r="M40" s="19"/>
      <c r="N40" s="19"/>
      <c r="O40" s="19"/>
      <c r="P40" s="19"/>
      <c r="Q40" s="19"/>
      <c r="R40"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data_1</vt:lpstr>
      <vt:lpstr>Sheet1</vt:lpstr>
      <vt:lpstr>graph</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Kumar</dc:creator>
  <cp:lastModifiedBy>uma rajput</cp:lastModifiedBy>
  <dcterms:created xsi:type="dcterms:W3CDTF">2026-01-30T11:39:23Z</dcterms:created>
  <dcterms:modified xsi:type="dcterms:W3CDTF">2026-10-05T11:30:55Z</dcterms:modified>
</cp:coreProperties>
</file>